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REF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2026-10-14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0.467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13.615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0.467</v>
      </c>
      <c r="C13" s="2" t="inlineStr"/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REF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0.05220999717712402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1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-0.0125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-17873000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435312000</v>
      </c>
    </row>
    <row r="33">
      <c r="A33" s="4" t="inlineStr">
        <is>
          <t>Plus: cash &amp; ST investments</t>
        </is>
      </c>
      <c r="B33" s="12" t="n">
        <v>76627000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59079318.98641204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13.615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REF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REF</t>
        </is>
      </c>
      <c r="B5" s="29" t="inlineStr">
        <is>
          <t>Reformation Inc.</t>
        </is>
      </c>
      <c r="C5" s="30" t="n">
        <v>804364928</v>
      </c>
      <c r="D5" s="31" t="n">
        <v>68.08</v>
      </c>
      <c r="E5" s="31" t="n">
        <v>38</v>
      </c>
      <c r="F5" s="31" t="n">
        <v>2.08</v>
      </c>
    </row>
    <row r="7">
      <c r="A7" s="4" t="inlineStr">
        <is>
          <t>Peer median</t>
        </is>
      </c>
      <c r="D7" s="32">
        <f>MEDIAN(D6:D5)</f>
        <v/>
      </c>
      <c r="E7" s="32">
        <f>MEDIAN(E6:E5)</f>
        <v/>
      </c>
      <c r="F7" s="32">
        <f>MEDIAN(F6:F5)</f>
        <v/>
      </c>
    </row>
    <row r="8">
      <c r="A8" s="4" t="inlineStr">
        <is>
          <t>Peer mean</t>
        </is>
      </c>
      <c r="D8" s="32">
        <f>AVERAGE(D6:D5)</f>
        <v/>
      </c>
      <c r="E8" s="32">
        <f>AVERAGE(E6:E5)</f>
        <v/>
      </c>
      <c r="F8" s="32">
        <f>AVERAGE(F6:F5)</f>
        <v/>
      </c>
    </row>
    <row r="9">
      <c r="A9" s="4" t="inlineStr">
        <is>
          <t>Target percentile vs peers</t>
        </is>
      </c>
      <c r="D9" s="33" t="n"/>
      <c r="E9" s="33" t="n"/>
      <c r="F9" s="33" t="n"/>
    </row>
    <row r="10">
      <c r="A10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2026-10-14T17:36:14Z</dcterms:created>
  <dcterms:modified xsi:type="dcterms:W3CDTF">2026-10-14T17:36:14Z</dcterms:modified>
</cp:coreProperties>
</file>
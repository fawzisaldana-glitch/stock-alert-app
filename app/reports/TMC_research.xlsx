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TMC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n">
        <v>3.784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TMC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0.05293000221252441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2.104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-43096000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0</v>
      </c>
    </row>
    <row r="33">
      <c r="A33" s="4" t="inlineStr">
        <is>
          <t>Plus: cash &amp; ST investments</t>
        </is>
      </c>
      <c r="B33" s="10" t="n">
        <v>98655000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565836921.7758986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3.784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TMC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TMC</t>
        </is>
      </c>
      <c r="B5" s="27" t="inlineStr">
        <is>
          <t>TMC the metals company Inc.</t>
        </is>
      </c>
      <c r="C5" s="28" t="n">
        <v>2141126912</v>
      </c>
      <c r="D5" s="29" t="n"/>
      <c r="E5" s="29" t="n">
        <v>-7.8</v>
      </c>
      <c r="F5" s="29" t="n"/>
    </row>
    <row r="6">
      <c r="A6" t="inlineStr">
        <is>
          <t>BCC</t>
        </is>
      </c>
      <c r="B6" t="inlineStr">
        <is>
          <t>Boise Cascade, L.L.C.</t>
        </is>
      </c>
      <c r="C6" s="30" t="n">
        <v>2635867136</v>
      </c>
      <c r="D6" s="31" t="n">
        <v>25.608473</v>
      </c>
      <c r="E6" s="31" t="n">
        <v>9.065</v>
      </c>
      <c r="F6" s="31" t="n">
        <v>0.452</v>
      </c>
    </row>
    <row r="7">
      <c r="A7" t="inlineStr">
        <is>
          <t>FSM</t>
        </is>
      </c>
      <c r="B7" t="inlineStr">
        <is>
          <t>Fortuna Mining Corp.</t>
        </is>
      </c>
      <c r="C7" s="30" t="n">
        <v>3322121728</v>
      </c>
      <c r="D7" s="31" t="n">
        <v>9.432772999999999</v>
      </c>
      <c r="E7" s="31" t="n">
        <v>3.983</v>
      </c>
      <c r="F7" s="31" t="n">
        <v>2.528</v>
      </c>
    </row>
    <row r="8">
      <c r="A8" t="inlineStr">
        <is>
          <t>MEOH</t>
        </is>
      </c>
      <c r="B8" t="inlineStr">
        <is>
          <t>Methanex Corporation</t>
        </is>
      </c>
      <c r="C8" s="30" t="n">
        <v>4633345536</v>
      </c>
      <c r="D8" s="31" t="n">
        <v>68.056816</v>
      </c>
      <c r="E8" s="31" t="n">
        <v>6.877</v>
      </c>
      <c r="F8" s="31" t="n">
        <v>1.802</v>
      </c>
    </row>
    <row r="9">
      <c r="A9" t="inlineStr">
        <is>
          <t>MTRN</t>
        </is>
      </c>
      <c r="B9" t="inlineStr">
        <is>
          <t>Materion Corporation</t>
        </is>
      </c>
      <c r="C9" s="30" t="n">
        <v>5590938112</v>
      </c>
      <c r="D9" s="31" t="n">
        <v>62.409298</v>
      </c>
      <c r="E9" s="31" t="n">
        <v>28.955</v>
      </c>
      <c r="F9" s="31" t="n">
        <v>2.835</v>
      </c>
    </row>
    <row r="10">
      <c r="A10" t="inlineStr">
        <is>
          <t>SKE</t>
        </is>
      </c>
      <c r="B10" t="inlineStr">
        <is>
          <t>Skeena Resources Limited</t>
        </is>
      </c>
      <c r="C10" s="30" t="n">
        <v>3724987648</v>
      </c>
      <c r="D10" s="31" t="n"/>
      <c r="E10" s="31" t="n">
        <v>-62.074</v>
      </c>
      <c r="F10" s="31" t="n"/>
    </row>
    <row r="11">
      <c r="A11" t="inlineStr">
        <is>
          <t>TGLS</t>
        </is>
      </c>
      <c r="B11" t="inlineStr">
        <is>
          <t>Tecnoglass Holdings Inc.</t>
        </is>
      </c>
      <c r="C11" s="30" t="n">
        <v>1525255552</v>
      </c>
      <c r="D11" s="31" t="n">
        <v>12.063159</v>
      </c>
      <c r="E11" s="31" t="n">
        <v>7.493</v>
      </c>
      <c r="F11" s="31" t="n">
        <v>1.597</v>
      </c>
    </row>
    <row r="12">
      <c r="A12" t="inlineStr">
        <is>
          <t>TTAM</t>
        </is>
      </c>
      <c r="B12" t="inlineStr">
        <is>
          <t>Titan America SA</t>
        </is>
      </c>
      <c r="C12" s="30" t="n">
        <v>2509321216</v>
      </c>
      <c r="D12" s="31" t="n">
        <v>14.177083</v>
      </c>
      <c r="E12" s="31" t="n">
        <v>8.523999999999999</v>
      </c>
      <c r="F12" s="31" t="n">
        <v>1.779</v>
      </c>
    </row>
    <row r="13">
      <c r="A13" t="inlineStr">
        <is>
          <t>USAR</t>
        </is>
      </c>
      <c r="B13" t="inlineStr">
        <is>
          <t>USA Rare Earth, Inc.</t>
        </is>
      </c>
      <c r="C13" s="30" t="n">
        <v>5272391168</v>
      </c>
      <c r="D13" s="31" t="n"/>
      <c r="E13" s="31" t="n">
        <v>-18.688</v>
      </c>
      <c r="F13" s="31" t="n">
        <v>152.711</v>
      </c>
    </row>
    <row r="15">
      <c r="A15" s="4" t="inlineStr">
        <is>
          <t>Peer median</t>
        </is>
      </c>
      <c r="D15" s="32">
        <f>MEDIAN(D6:D13)</f>
        <v/>
      </c>
      <c r="E15" s="32">
        <f>MEDIAN(E6:E13)</f>
        <v/>
      </c>
      <c r="F15" s="32">
        <f>MEDIAN(F6:F13)</f>
        <v/>
      </c>
    </row>
    <row r="16">
      <c r="A16" s="4" t="inlineStr">
        <is>
          <t>Peer mean</t>
        </is>
      </c>
      <c r="D16" s="32">
        <f>AVERAGE(D6:D13)</f>
        <v/>
      </c>
      <c r="E16" s="32">
        <f>AVERAGE(E6:E13)</f>
        <v/>
      </c>
      <c r="F16" s="32">
        <f>AVERAGE(F6:F13)</f>
        <v/>
      </c>
    </row>
    <row r="17">
      <c r="A17" s="4" t="inlineStr">
        <is>
          <t>Target percentile vs peers</t>
        </is>
      </c>
      <c r="D17" s="33" t="n"/>
      <c r="E17" s="33" t="n"/>
      <c r="F17" s="33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2026-09-29T17:35:50Z</dcterms:created>
  <dcterms:modified xsi:type="dcterms:W3CDTF">2026-09-29T17:35:50Z</dcterms:modified>
</cp:coreProperties>
</file>
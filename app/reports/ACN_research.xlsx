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67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ACN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2026-06-18 17:38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0.888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medium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128.16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8" t="n">
        <v>0.886</v>
      </c>
      <c r="C13" s="2" t="inlineStr"/>
    </row>
    <row r="14">
      <c r="A14" s="4" t="inlineStr">
        <is>
          <t>comps_percentile</t>
        </is>
      </c>
      <c r="B14" s="8" t="n">
        <v>0.889</v>
      </c>
      <c r="C14" s="2" t="inlineStr">
        <is>
          <t>Peer-relative ranking of P/E, EV/EBITDA, EV/Rev</t>
        </is>
      </c>
    </row>
    <row r="16">
      <c r="A16" s="3" t="inlineStr">
        <is>
          <t>Honest caveats (read before acting)</t>
        </is>
      </c>
      <c r="B16" s="3" t="n"/>
      <c r="C16" s="3" t="n"/>
    </row>
    <row r="17">
      <c r="A17" s="2" t="inlineStr">
        <is>
          <t>Lite DCF: 5y horizon, 70/30 equity/debt cap structure assumed, FCF growth from 3y trailing trend.</t>
        </is>
      </c>
    </row>
    <row r="18">
      <c r="A18" s="2" t="inlineStr">
        <is>
          <t>Peer set is FMP's algorithmic /stock-peers — may include weak comps for unusual business models.</t>
        </is>
      </c>
    </row>
    <row r="19">
      <c r="A19" s="2" t="inlineStr">
        <is>
          <t>Net cash treatment uses cashAndShortTermInvestments (operating cash); excludes LT marketable</t>
        </is>
      </c>
    </row>
    <row r="20">
      <c r="A20" s="2" t="inlineStr">
        <is>
          <t xml:space="preserve">  securities, which understates intrinsic for cash-rich companies like AAPL (~$80B in LT inv).</t>
        </is>
      </c>
    </row>
    <row r="21">
      <c r="A21" s="2" t="inlineStr">
        <is>
          <t>Margin of safety is normalized to 0..1; flip to the DCF tab for the raw % gap.</t>
        </is>
      </c>
    </row>
    <row r="22">
      <c r="A22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22:C22"/>
    <mergeCell ref="A17:C17"/>
    <mergeCell ref="A18:C18"/>
    <mergeCell ref="A3:C3"/>
    <mergeCell ref="A21:C21"/>
    <mergeCell ref="A12:C12"/>
    <mergeCell ref="A20:C20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ACN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0.04438000202178955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1.069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0.05241951788891955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10874360000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8347366912</v>
      </c>
    </row>
    <row r="33">
      <c r="A33" s="4" t="inlineStr">
        <is>
          <t>Plus: cash &amp; ST investments</t>
        </is>
      </c>
      <c r="B33" s="12" t="n">
        <v>9405595648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615435122.0973783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128.16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ACN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ACN</t>
        </is>
      </c>
      <c r="B5" s="29" t="inlineStr">
        <is>
          <t>Accenture plc</t>
        </is>
      </c>
      <c r="C5" s="30" t="n">
        <v>78874165248</v>
      </c>
      <c r="D5" s="31" t="n">
        <v>10.5</v>
      </c>
      <c r="E5" s="31" t="n">
        <v>8.02</v>
      </c>
      <c r="F5" s="31" t="n">
        <v>1.42</v>
      </c>
    </row>
    <row r="6">
      <c r="A6" t="inlineStr">
        <is>
          <t>ADBE</t>
        </is>
      </c>
      <c r="B6" t="inlineStr">
        <is>
          <t>Adobe Inc.</t>
        </is>
      </c>
      <c r="C6" s="32" t="n">
        <v>77538852864</v>
      </c>
      <c r="D6" s="33" t="n">
        <v>11.1594</v>
      </c>
      <c r="E6" s="33" t="n">
        <v>8.619999999999999</v>
      </c>
      <c r="F6" s="33" t="n">
        <v>3.328</v>
      </c>
    </row>
    <row r="7">
      <c r="A7" t="inlineStr">
        <is>
          <t>AMAT</t>
        </is>
      </c>
      <c r="B7" t="inlineStr">
        <is>
          <t>Applied Materials, Inc.</t>
        </is>
      </c>
      <c r="C7" s="32" t="n">
        <v>490285826048</v>
      </c>
      <c r="D7" s="33" t="n">
        <v>58.092194</v>
      </c>
      <c r="E7" s="33" t="n">
        <v>48.537</v>
      </c>
      <c r="F7" s="33" t="n">
        <v>15.511</v>
      </c>
    </row>
    <row r="8">
      <c r="A8" t="inlineStr">
        <is>
          <t>APH</t>
        </is>
      </c>
      <c r="B8" t="inlineStr">
        <is>
          <t>Amphenol Corporation</t>
        </is>
      </c>
      <c r="C8" s="32" t="n">
        <v>203382374400</v>
      </c>
      <c r="D8" s="33" t="n">
        <v>47.50575</v>
      </c>
      <c r="E8" s="33" t="n">
        <v>25.657</v>
      </c>
      <c r="F8" s="33" t="n">
        <v>8.093999999999999</v>
      </c>
    </row>
    <row r="9">
      <c r="A9" t="inlineStr">
        <is>
          <t>INFY</t>
        </is>
      </c>
      <c r="B9" t="inlineStr">
        <is>
          <t>Infosys Limited</t>
        </is>
      </c>
      <c r="C9" s="32" t="n">
        <v>43421290496</v>
      </c>
      <c r="D9" s="33" t="n">
        <v>13.40625</v>
      </c>
      <c r="E9" s="33" t="n">
        <v>21.273</v>
      </c>
      <c r="F9" s="33" t="n">
        <v>4.673</v>
      </c>
    </row>
    <row r="10">
      <c r="A10" t="inlineStr">
        <is>
          <t>KLAC</t>
        </is>
      </c>
      <c r="B10" t="inlineStr">
        <is>
          <t>KLA Corporation</t>
        </is>
      </c>
      <c r="C10" s="32" t="n">
        <v>339226624000</v>
      </c>
      <c r="D10" s="33" t="n">
        <v>73.35876</v>
      </c>
      <c r="E10" s="33" t="n">
        <v>53.196</v>
      </c>
      <c r="F10" s="33" t="n">
        <v>23.762</v>
      </c>
    </row>
    <row r="11">
      <c r="A11" t="inlineStr">
        <is>
          <t>LDOS</t>
        </is>
      </c>
      <c r="B11" t="inlineStr">
        <is>
          <t>Leidos Holdings, Inc.</t>
        </is>
      </c>
      <c r="C11" s="32" t="n">
        <v>13465962496</v>
      </c>
      <c r="D11" s="33" t="n">
        <v>9.794601</v>
      </c>
      <c r="E11" s="33" t="n">
        <v>8.663</v>
      </c>
      <c r="F11" s="33" t="n">
        <v>1.202</v>
      </c>
    </row>
    <row r="12">
      <c r="A12" t="inlineStr">
        <is>
          <t>PANW</t>
        </is>
      </c>
      <c r="B12" t="inlineStr">
        <is>
          <t>Palo Alto Networks, Inc.</t>
        </is>
      </c>
      <c r="C12" s="32" t="n">
        <v>232666038272</v>
      </c>
      <c r="D12" s="33" t="n">
        <v>248.2433</v>
      </c>
      <c r="E12" s="33" t="n">
        <v>153.109</v>
      </c>
      <c r="F12" s="33" t="n">
        <v>21.415</v>
      </c>
    </row>
    <row r="13">
      <c r="A13" t="inlineStr">
        <is>
          <t>QCOM</t>
        </is>
      </c>
      <c r="B13" t="inlineStr">
        <is>
          <t>QUALCOMM Incorporated</t>
        </is>
      </c>
      <c r="C13" s="32" t="n">
        <v>238657208320</v>
      </c>
      <c r="D13" s="33" t="n">
        <v>24.37352</v>
      </c>
      <c r="E13" s="33" t="n">
        <v>17.778</v>
      </c>
      <c r="F13" s="33" t="n">
        <v>5.195</v>
      </c>
    </row>
    <row r="15">
      <c r="A15" s="4" t="inlineStr">
        <is>
          <t>Peer median</t>
        </is>
      </c>
      <c r="D15" s="34">
        <f>MEDIAN(D6:D13)</f>
        <v/>
      </c>
      <c r="E15" s="34">
        <f>MEDIAN(E6:E13)</f>
        <v/>
      </c>
      <c r="F15" s="34">
        <f>MEDIAN(F6:F13)</f>
        <v/>
      </c>
    </row>
    <row r="16">
      <c r="A16" s="4" t="inlineStr">
        <is>
          <t>Peer mean</t>
        </is>
      </c>
      <c r="D16" s="34">
        <f>AVERAGE(D6:D13)</f>
        <v/>
      </c>
      <c r="E16" s="34">
        <f>AVERAGE(E6:E13)</f>
        <v/>
      </c>
      <c r="F16" s="34">
        <f>AVERAGE(F6:F13)</f>
        <v/>
      </c>
    </row>
    <row r="17">
      <c r="A17" s="4" t="inlineStr">
        <is>
          <t>Target percentile vs peers</t>
        </is>
      </c>
      <c r="D17" s="35" t="n">
        <v>0.167</v>
      </c>
      <c r="E17" s="35" t="n">
        <v>0</v>
      </c>
      <c r="F17" s="35" t="n">
        <v>0.167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2026-06-18T17:38:44Z</dcterms:created>
  <dcterms:modified xsi:type="dcterms:W3CDTF">2026-06-18T17:38:44Z</dcterms:modified>
</cp:coreProperties>
</file>
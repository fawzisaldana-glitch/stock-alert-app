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BA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2026-05-30 22:16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231.15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0</v>
      </c>
      <c r="C13" s="2" t="inlineStr"/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BA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0.0445300006866455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1.207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-0.0125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-1886000000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49614000128</v>
      </c>
    </row>
    <row r="33">
      <c r="A33" s="4" t="inlineStr">
        <is>
          <t>Plus: cash &amp; ST investments</t>
        </is>
      </c>
      <c r="B33" s="12" t="n">
        <v>20177999872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788302320.6056674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231.15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BA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BA</t>
        </is>
      </c>
      <c r="B5" s="29" t="inlineStr">
        <is>
          <t>The Boeing Company</t>
        </is>
      </c>
      <c r="C5" s="30" t="n">
        <v>182216081408</v>
      </c>
      <c r="D5" s="31" t="n">
        <v>91.73</v>
      </c>
      <c r="E5" s="31" t="n">
        <v>-64.95</v>
      </c>
      <c r="F5" s="31" t="n">
        <v>2.3</v>
      </c>
    </row>
    <row r="6">
      <c r="A6" t="inlineStr">
        <is>
          <t>LMT</t>
        </is>
      </c>
      <c r="B6" t="inlineStr">
        <is>
          <t>Lockheed Martin Corporation</t>
        </is>
      </c>
      <c r="C6" s="32" t="n">
        <v>122302465864</v>
      </c>
      <c r="D6" s="33" t="n">
        <v>25.44344982265804</v>
      </c>
      <c r="E6" s="33" t="n">
        <v>17.44411742662876</v>
      </c>
      <c r="F6" s="33" t="n">
        <v>1.878525805285229</v>
      </c>
    </row>
    <row r="8">
      <c r="A8" s="4" t="inlineStr">
        <is>
          <t>Peer median</t>
        </is>
      </c>
      <c r="D8" s="34">
        <f>MEDIAN(D6:D6)</f>
        <v/>
      </c>
      <c r="E8" s="34">
        <f>MEDIAN(E6:E6)</f>
        <v/>
      </c>
      <c r="F8" s="34">
        <f>MEDIAN(F6:F6)</f>
        <v/>
      </c>
    </row>
    <row r="9">
      <c r="A9" s="4" t="inlineStr">
        <is>
          <t>Peer mean</t>
        </is>
      </c>
      <c r="D9" s="34">
        <f>AVERAGE(D6:D6)</f>
        <v/>
      </c>
      <c r="E9" s="34">
        <f>AVERAGE(E6:E6)</f>
        <v/>
      </c>
      <c r="F9" s="34">
        <f>AVERAGE(F6:F6)</f>
        <v/>
      </c>
    </row>
    <row r="10">
      <c r="A10" s="4" t="inlineStr">
        <is>
          <t>Target percentile vs peers</t>
        </is>
      </c>
      <c r="D10" s="35" t="n"/>
      <c r="E10" s="35" t="n"/>
      <c r="F10" s="35" t="n"/>
    </row>
    <row r="11">
      <c r="A11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2026-05-31T05:16:07Z</dcterms:created>
  <dcterms:modified xsi:type="dcterms:W3CDTF">2026-05-31T05:16:07Z</dcterms:modified>
</cp:coreProperties>
</file>
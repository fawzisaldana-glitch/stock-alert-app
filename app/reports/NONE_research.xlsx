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%"/>
    <numFmt numFmtId="165" formatCode="&quot;$&quot;#,##0"/>
    <numFmt numFmtId="166" formatCode="0.0000"/>
    <numFmt numFmtId="167" formatCode="&quot;$&quot;#,##0.00"/>
    <numFmt numFmtId="168" formatCode="+0.0%;-0.0%"/>
    <numFmt numFmtId="169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0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4" fontId="4" fillId="4" borderId="0" pivotButton="0" quotePrefix="0" xfId="0"/>
    <xf numFmtId="165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5" fontId="4" fillId="5" borderId="0" pivotButton="0" quotePrefix="0" xfId="0"/>
    <xf numFmtId="166" fontId="4" fillId="5" borderId="0" pivotButton="0" quotePrefix="0" xfId="0"/>
    <xf numFmtId="0" fontId="6" fillId="0" borderId="0" pivotButton="0" quotePrefix="0" xfId="0"/>
    <xf numFmtId="165" fontId="6" fillId="5" borderId="0" pivotButton="0" quotePrefix="0" xfId="0"/>
    <xf numFmtId="3" fontId="4" fillId="4" borderId="0" pivotButton="0" quotePrefix="0" xfId="0"/>
    <xf numFmtId="167" fontId="6" fillId="5" borderId="0" pivotButton="0" quotePrefix="0" xfId="0"/>
    <xf numFmtId="167" fontId="4" fillId="4" borderId="0" pivotButton="0" quotePrefix="0" xfId="0"/>
    <xf numFmtId="168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7" fontId="4" fillId="5" borderId="0" pivotButton="0" quotePrefix="0" xfId="0"/>
    <xf numFmtId="167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5" fontId="0" fillId="6" borderId="0" pivotButton="0" quotePrefix="0" xfId="0"/>
    <xf numFmtId="169" fontId="0" fillId="6" borderId="0" pivotButton="0" quotePrefix="0" xfId="0"/>
    <xf numFmtId="169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NONE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2026-10-09 17:36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inlineStr">
        <is>
          <t>—</t>
        </is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5" t="inlineStr">
        <is>
          <t>low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5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5" t="inlineStr">
        <is>
          <t>—</t>
        </is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5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4">
      <c r="A14" s="3" t="inlineStr">
        <is>
          <t>Honest caveats (read before acting)</t>
        </is>
      </c>
      <c r="B14" s="3" t="n"/>
      <c r="C14" s="3" t="n"/>
    </row>
    <row r="15">
      <c r="A15" s="2" t="inlineStr">
        <is>
          <t>Lite DCF: 5y horizon, 70/30 equity/debt cap structure assumed, FCF growth from 3y trailing trend.</t>
        </is>
      </c>
    </row>
    <row r="16">
      <c r="A16" s="2" t="inlineStr">
        <is>
          <t>Peer set is FMP's algorithmic /stock-peers — may include weak comps for unusual business models.</t>
        </is>
      </c>
    </row>
    <row r="17">
      <c r="A17" s="2" t="inlineStr">
        <is>
          <t>Net cash treatment uses cashAndShortTermInvestments (operating cash); excludes LT marketable</t>
        </is>
      </c>
    </row>
    <row r="18">
      <c r="A18" s="2" t="inlineStr">
        <is>
          <t xml:space="preserve">  securities, which understates intrinsic for cash-rich companies like AAPL (~$80B in LT inv).</t>
        </is>
      </c>
    </row>
    <row r="19">
      <c r="A19" s="2" t="inlineStr">
        <is>
          <t>Margin of safety is normalized to 0..1; flip to the DCF tab for the raw % gap.</t>
        </is>
      </c>
    </row>
    <row r="20">
      <c r="A20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14:C14"/>
    <mergeCell ref="A17:C17"/>
    <mergeCell ref="A18:C18"/>
    <mergeCell ref="A3:C3"/>
    <mergeCell ref="A12:C12"/>
    <mergeCell ref="A20:C20"/>
    <mergeCell ref="A16:C16"/>
    <mergeCell ref="A15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NONE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6" t="n">
        <v>0.05245999813079834</v>
      </c>
    </row>
    <row r="6">
      <c r="A6" s="4" t="inlineStr">
        <is>
          <t>Equity risk premium (ERP)</t>
        </is>
      </c>
      <c r="B6" s="6" t="n">
        <v>0.05</v>
      </c>
    </row>
    <row r="7">
      <c r="A7" s="4" t="inlineStr">
        <is>
          <t>Beta (levered)</t>
        </is>
      </c>
      <c r="B7" s="7" t="n">
        <v>1</v>
      </c>
    </row>
    <row r="8">
      <c r="A8" s="4" t="inlineStr">
        <is>
          <t>Credit spread over risk-free</t>
        </is>
      </c>
      <c r="B8" s="6" t="n">
        <v>0.02</v>
      </c>
    </row>
    <row r="9">
      <c r="A9" s="4" t="inlineStr">
        <is>
          <t>Tax rate</t>
        </is>
      </c>
      <c r="B9" s="6" t="n">
        <v>0.21</v>
      </c>
    </row>
    <row r="10">
      <c r="A10" s="4" t="inlineStr">
        <is>
          <t>Equity weight (cap structure)</t>
        </is>
      </c>
      <c r="B10" s="8" t="n">
        <v>0.7</v>
      </c>
    </row>
    <row r="11">
      <c r="A11" s="4" t="inlineStr">
        <is>
          <t>FCF growth (flat, faded avg)</t>
        </is>
      </c>
      <c r="B11" s="6" t="n">
        <v>0.0125</v>
      </c>
    </row>
    <row r="12">
      <c r="A12" s="4" t="inlineStr">
        <is>
          <t>Terminal growth rate</t>
        </is>
      </c>
      <c r="B12" s="6" t="n">
        <v>0.025</v>
      </c>
    </row>
    <row r="13">
      <c r="A13" s="4" t="inlineStr">
        <is>
          <t>Latest FCF ($, base year)</t>
        </is>
      </c>
      <c r="B13" s="9" t="n">
        <v>0</v>
      </c>
    </row>
    <row r="15">
      <c r="A15" s="4" t="inlineStr">
        <is>
          <t>Cost of equity (CAPM)</t>
        </is>
      </c>
      <c r="B15" s="10">
        <f>B5+B7*B6</f>
        <v/>
      </c>
    </row>
    <row r="16">
      <c r="A16" s="4" t="inlineStr">
        <is>
          <t>After-tax cost of debt</t>
        </is>
      </c>
      <c r="B16" s="10">
        <f>(B5+B8)*(1-B9)</f>
        <v/>
      </c>
    </row>
    <row r="17">
      <c r="A17" s="11" t="inlineStr">
        <is>
          <t>WACC</t>
        </is>
      </c>
      <c r="B17" s="12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3">
        <f>$B$13*(1+$B$11)</f>
        <v/>
      </c>
      <c r="C22" s="13">
        <f>B22*(1+$B$11)</f>
        <v/>
      </c>
      <c r="D22" s="13">
        <f>C22*(1+$B$11)</f>
        <v/>
      </c>
      <c r="E22" s="13">
        <f>D22*(1+$B$11)</f>
        <v/>
      </c>
      <c r="F22" s="13">
        <f>E22*(1+$B$11)</f>
        <v/>
      </c>
    </row>
    <row r="23">
      <c r="A23" s="4" t="inlineStr">
        <is>
          <t>Discount factor</t>
        </is>
      </c>
      <c r="B23" s="14">
        <f>1/(1+$B$17)^1</f>
        <v/>
      </c>
      <c r="C23" s="14">
        <f>1/(1+$B$17)^2</f>
        <v/>
      </c>
      <c r="D23" s="14">
        <f>1/(1+$B$17)^3</f>
        <v/>
      </c>
      <c r="E23" s="14">
        <f>1/(1+$B$17)^4</f>
        <v/>
      </c>
      <c r="F23" s="14">
        <f>1/(1+$B$17)^5</f>
        <v/>
      </c>
    </row>
    <row r="24">
      <c r="A24" s="4" t="inlineStr">
        <is>
          <t>PV of FCF</t>
        </is>
      </c>
      <c r="B24" s="13">
        <f>B22*B23</f>
        <v/>
      </c>
      <c r="C24" s="13">
        <f>C22*C23</f>
        <v/>
      </c>
      <c r="D24" s="13">
        <f>D22*D23</f>
        <v/>
      </c>
      <c r="E24" s="13">
        <f>E22*E23</f>
        <v/>
      </c>
      <c r="F24" s="13">
        <f>F22*F23</f>
        <v/>
      </c>
    </row>
    <row r="26">
      <c r="A26" s="4" t="inlineStr">
        <is>
          <t>Sum of PV (explicit 5y)</t>
        </is>
      </c>
      <c r="B26" s="13">
        <f>SUM(B24:F24)</f>
        <v/>
      </c>
    </row>
    <row r="27">
      <c r="A27" s="4" t="inlineStr">
        <is>
          <t>Terminal value (Gordon)</t>
        </is>
      </c>
      <c r="B27" s="13">
        <f>F22*(1+B12)/(B17-B12)</f>
        <v/>
      </c>
    </row>
    <row r="28">
      <c r="A28" s="4" t="inlineStr">
        <is>
          <t>PV of terminal value</t>
        </is>
      </c>
      <c r="B28" s="13">
        <f>B27/(1+B17)^5</f>
        <v/>
      </c>
    </row>
    <row r="29">
      <c r="A29" s="15" t="inlineStr">
        <is>
          <t>Enterprise value</t>
        </is>
      </c>
      <c r="B29" s="16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9" t="n">
        <v>0</v>
      </c>
    </row>
    <row r="33">
      <c r="A33" s="4" t="inlineStr">
        <is>
          <t>Plus: cash &amp; ST investments</t>
        </is>
      </c>
      <c r="B33" s="9" t="n">
        <v>0</v>
      </c>
    </row>
    <row r="34">
      <c r="A34" s="4" t="inlineStr">
        <is>
          <t>Equity value</t>
        </is>
      </c>
      <c r="B34" s="13">
        <f>B29-B32+B33</f>
        <v/>
      </c>
    </row>
    <row r="35">
      <c r="A35" s="4" t="inlineStr">
        <is>
          <t>Diluted shares outstanding</t>
        </is>
      </c>
      <c r="B35" s="17" t="n">
        <v>0</v>
      </c>
    </row>
    <row r="36">
      <c r="A36" s="15" t="inlineStr">
        <is>
          <t>Intrinsic per share</t>
        </is>
      </c>
      <c r="B36" s="18">
        <f>B34/B35</f>
        <v/>
      </c>
    </row>
    <row r="37">
      <c r="A37" s="4" t="inlineStr">
        <is>
          <t>Current market price</t>
        </is>
      </c>
      <c r="B37" s="19" t="n">
        <v>0</v>
      </c>
    </row>
    <row r="38">
      <c r="A38" s="15" t="inlineStr">
        <is>
          <t>Margin of safety</t>
        </is>
      </c>
      <c r="B38" s="20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1" t="inlineStr">
        <is>
          <t>WACC ↓ / TermG →</t>
        </is>
      </c>
      <c r="B42" s="22">
        <f>$B$12+-0.01</f>
        <v/>
      </c>
      <c r="C42" s="22">
        <f>$B$12+-0.005</f>
        <v/>
      </c>
      <c r="D42" s="22">
        <f>$B$12+0.0</f>
        <v/>
      </c>
      <c r="E42" s="22">
        <f>$B$12+0.005</f>
        <v/>
      </c>
      <c r="F42" s="22">
        <f>$B$12+0.01</f>
        <v/>
      </c>
    </row>
    <row r="43">
      <c r="A43" s="22">
        <f>$B$17+-0.01</f>
        <v/>
      </c>
      <c r="B43" s="23">
        <f>($B$13*(1+$B$11)^1/(1+A43)^1+$B$13*(1+$B$11)^2/(1+A43)^2+$B$13*(1+$B$11)^3/(1+A43)^3+$B$13*(1+$B$11)^4/(1+A43)^4+$B$13*(1+$B$11)^5/(1+A43)^5+($B$13*(1+$B$11)^5*(1+B$42)/(A43-B$42))/(1+A43)^5-$B$32+$B$33)/$B$35</f>
        <v/>
      </c>
      <c r="C43" s="23">
        <f>($B$13*(1+$B$11)^1/(1+A43)^1+$B$13*(1+$B$11)^2/(1+A43)^2+$B$13*(1+$B$11)^3/(1+A43)^3+$B$13*(1+$B$11)^4/(1+A43)^4+$B$13*(1+$B$11)^5/(1+A43)^5+($B$13*(1+$B$11)^5*(1+C$42)/(A43-C$42))/(1+A43)^5-$B$32+$B$33)/$B$35</f>
        <v/>
      </c>
      <c r="D43" s="23">
        <f>($B$13*(1+$B$11)^1/(1+A43)^1+$B$13*(1+$B$11)^2/(1+A43)^2+$B$13*(1+$B$11)^3/(1+A43)^3+$B$13*(1+$B$11)^4/(1+A43)^4+$B$13*(1+$B$11)^5/(1+A43)^5+($B$13*(1+$B$11)^5*(1+D$42)/(A43-D$42))/(1+A43)^5-$B$32+$B$33)/$B$35</f>
        <v/>
      </c>
      <c r="E43" s="23">
        <f>($B$13*(1+$B$11)^1/(1+A43)^1+$B$13*(1+$B$11)^2/(1+A43)^2+$B$13*(1+$B$11)^3/(1+A43)^3+$B$13*(1+$B$11)^4/(1+A43)^4+$B$13*(1+$B$11)^5/(1+A43)^5+($B$13*(1+$B$11)^5*(1+E$42)/(A43-E$42))/(1+A43)^5-$B$32+$B$33)/$B$35</f>
        <v/>
      </c>
      <c r="F43" s="23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2">
        <f>$B$17+-0.005</f>
        <v/>
      </c>
      <c r="B44" s="23">
        <f>($B$13*(1+$B$11)^1/(1+A44)^1+$B$13*(1+$B$11)^2/(1+A44)^2+$B$13*(1+$B$11)^3/(1+A44)^3+$B$13*(1+$B$11)^4/(1+A44)^4+$B$13*(1+$B$11)^5/(1+A44)^5+($B$13*(1+$B$11)^5*(1+B$42)/(A44-B$42))/(1+A44)^5-$B$32+$B$33)/$B$35</f>
        <v/>
      </c>
      <c r="C44" s="23">
        <f>($B$13*(1+$B$11)^1/(1+A44)^1+$B$13*(1+$B$11)^2/(1+A44)^2+$B$13*(1+$B$11)^3/(1+A44)^3+$B$13*(1+$B$11)^4/(1+A44)^4+$B$13*(1+$B$11)^5/(1+A44)^5+($B$13*(1+$B$11)^5*(1+C$42)/(A44-C$42))/(1+A44)^5-$B$32+$B$33)/$B$35</f>
        <v/>
      </c>
      <c r="D44" s="23">
        <f>($B$13*(1+$B$11)^1/(1+A44)^1+$B$13*(1+$B$11)^2/(1+A44)^2+$B$13*(1+$B$11)^3/(1+A44)^3+$B$13*(1+$B$11)^4/(1+A44)^4+$B$13*(1+$B$11)^5/(1+A44)^5+($B$13*(1+$B$11)^5*(1+D$42)/(A44-D$42))/(1+A44)^5-$B$32+$B$33)/$B$35</f>
        <v/>
      </c>
      <c r="E44" s="23">
        <f>($B$13*(1+$B$11)^1/(1+A44)^1+$B$13*(1+$B$11)^2/(1+A44)^2+$B$13*(1+$B$11)^3/(1+A44)^3+$B$13*(1+$B$11)^4/(1+A44)^4+$B$13*(1+$B$11)^5/(1+A44)^5+($B$13*(1+$B$11)^5*(1+E$42)/(A44-E$42))/(1+A44)^5-$B$32+$B$33)/$B$35</f>
        <v/>
      </c>
      <c r="F44" s="23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2">
        <f>$B$17+0.0</f>
        <v/>
      </c>
      <c r="B45" s="23">
        <f>($B$13*(1+$B$11)^1/(1+A45)^1+$B$13*(1+$B$11)^2/(1+A45)^2+$B$13*(1+$B$11)^3/(1+A45)^3+$B$13*(1+$B$11)^4/(1+A45)^4+$B$13*(1+$B$11)^5/(1+A45)^5+($B$13*(1+$B$11)^5*(1+B$42)/(A45-B$42))/(1+A45)^5-$B$32+$B$33)/$B$35</f>
        <v/>
      </c>
      <c r="C45" s="23">
        <f>($B$13*(1+$B$11)^1/(1+A45)^1+$B$13*(1+$B$11)^2/(1+A45)^2+$B$13*(1+$B$11)^3/(1+A45)^3+$B$13*(1+$B$11)^4/(1+A45)^4+$B$13*(1+$B$11)^5/(1+A45)^5+($B$13*(1+$B$11)^5*(1+C$42)/(A45-C$42))/(1+A45)^5-$B$32+$B$33)/$B$35</f>
        <v/>
      </c>
      <c r="D45" s="24">
        <f>($B$13*(1+$B$11)^1/(1+A45)^1+$B$13*(1+$B$11)^2/(1+A45)^2+$B$13*(1+$B$11)^3/(1+A45)^3+$B$13*(1+$B$11)^4/(1+A45)^4+$B$13*(1+$B$11)^5/(1+A45)^5+($B$13*(1+$B$11)^5*(1+D$42)/(A45-D$42))/(1+A45)^5-$B$32+$B$33)/$B$35</f>
        <v/>
      </c>
      <c r="E45" s="23">
        <f>($B$13*(1+$B$11)^1/(1+A45)^1+$B$13*(1+$B$11)^2/(1+A45)^2+$B$13*(1+$B$11)^3/(1+A45)^3+$B$13*(1+$B$11)^4/(1+A45)^4+$B$13*(1+$B$11)^5/(1+A45)^5+($B$13*(1+$B$11)^5*(1+E$42)/(A45-E$42))/(1+A45)^5-$B$32+$B$33)/$B$35</f>
        <v/>
      </c>
      <c r="F45" s="23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2">
        <f>$B$17+0.005</f>
        <v/>
      </c>
      <c r="B46" s="23">
        <f>($B$13*(1+$B$11)^1/(1+A46)^1+$B$13*(1+$B$11)^2/(1+A46)^2+$B$13*(1+$B$11)^3/(1+A46)^3+$B$13*(1+$B$11)^4/(1+A46)^4+$B$13*(1+$B$11)^5/(1+A46)^5+($B$13*(1+$B$11)^5*(1+B$42)/(A46-B$42))/(1+A46)^5-$B$32+$B$33)/$B$35</f>
        <v/>
      </c>
      <c r="C46" s="23">
        <f>($B$13*(1+$B$11)^1/(1+A46)^1+$B$13*(1+$B$11)^2/(1+A46)^2+$B$13*(1+$B$11)^3/(1+A46)^3+$B$13*(1+$B$11)^4/(1+A46)^4+$B$13*(1+$B$11)^5/(1+A46)^5+($B$13*(1+$B$11)^5*(1+C$42)/(A46-C$42))/(1+A46)^5-$B$32+$B$33)/$B$35</f>
        <v/>
      </c>
      <c r="D46" s="23">
        <f>($B$13*(1+$B$11)^1/(1+A46)^1+$B$13*(1+$B$11)^2/(1+A46)^2+$B$13*(1+$B$11)^3/(1+A46)^3+$B$13*(1+$B$11)^4/(1+A46)^4+$B$13*(1+$B$11)^5/(1+A46)^5+($B$13*(1+$B$11)^5*(1+D$42)/(A46-D$42))/(1+A46)^5-$B$32+$B$33)/$B$35</f>
        <v/>
      </c>
      <c r="E46" s="23">
        <f>($B$13*(1+$B$11)^1/(1+A46)^1+$B$13*(1+$B$11)^2/(1+A46)^2+$B$13*(1+$B$11)^3/(1+A46)^3+$B$13*(1+$B$11)^4/(1+A46)^4+$B$13*(1+$B$11)^5/(1+A46)^5+($B$13*(1+$B$11)^5*(1+E$42)/(A46-E$42))/(1+A46)^5-$B$32+$B$33)/$B$35</f>
        <v/>
      </c>
      <c r="F46" s="23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2">
        <f>$B$17+0.01</f>
        <v/>
      </c>
      <c r="B47" s="23">
        <f>($B$13*(1+$B$11)^1/(1+A47)^1+$B$13*(1+$B$11)^2/(1+A47)^2+$B$13*(1+$B$11)^3/(1+A47)^3+$B$13*(1+$B$11)^4/(1+A47)^4+$B$13*(1+$B$11)^5/(1+A47)^5+($B$13*(1+$B$11)^5*(1+B$42)/(A47-B$42))/(1+A47)^5-$B$32+$B$33)/$B$35</f>
        <v/>
      </c>
      <c r="C47" s="23">
        <f>($B$13*(1+$B$11)^1/(1+A47)^1+$B$13*(1+$B$11)^2/(1+A47)^2+$B$13*(1+$B$11)^3/(1+A47)^3+$B$13*(1+$B$11)^4/(1+A47)^4+$B$13*(1+$B$11)^5/(1+A47)^5+($B$13*(1+$B$11)^5*(1+C$42)/(A47-C$42))/(1+A47)^5-$B$32+$B$33)/$B$35</f>
        <v/>
      </c>
      <c r="D47" s="23">
        <f>($B$13*(1+$B$11)^1/(1+A47)^1+$B$13*(1+$B$11)^2/(1+A47)^2+$B$13*(1+$B$11)^3/(1+A47)^3+$B$13*(1+$B$11)^4/(1+A47)^4+$B$13*(1+$B$11)^5/(1+A47)^5+($B$13*(1+$B$11)^5*(1+D$42)/(A47-D$42))/(1+A47)^5-$B$32+$B$33)/$B$35</f>
        <v/>
      </c>
      <c r="E47" s="23">
        <f>($B$13*(1+$B$11)^1/(1+A47)^1+$B$13*(1+$B$11)^2/(1+A47)^2+$B$13*(1+$B$11)^3/(1+A47)^3+$B$13*(1+$B$11)^4/(1+A47)^4+$B$13*(1+$B$11)^5/(1+A47)^5+($B$13*(1+$B$11)^5*(1+E$42)/(A47-E$42))/(1+A47)^5-$B$32+$B$33)/$B$35</f>
        <v/>
      </c>
      <c r="F47" s="23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NONE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5" t="inlineStr">
        <is>
          <t>Ticker</t>
        </is>
      </c>
      <c r="B4" s="25" t="inlineStr">
        <is>
          <t>Name</t>
        </is>
      </c>
      <c r="C4" s="25" t="inlineStr">
        <is>
          <t>Market Cap</t>
        </is>
      </c>
      <c r="D4" s="25" t="inlineStr">
        <is>
          <t>P/E (TTM)</t>
        </is>
      </c>
      <c r="E4" s="25" t="inlineStr">
        <is>
          <t>EV/EBITDA</t>
        </is>
      </c>
      <c r="F4" s="25" t="inlineStr">
        <is>
          <t>EV/Revenue</t>
        </is>
      </c>
    </row>
    <row r="5">
      <c r="A5" s="26" t="inlineStr">
        <is>
          <t>NONE</t>
        </is>
      </c>
      <c r="B5" s="26" t="inlineStr">
        <is>
          <t>NONE</t>
        </is>
      </c>
      <c r="C5" s="27" t="n"/>
      <c r="D5" s="28" t="n"/>
      <c r="E5" s="28" t="n"/>
      <c r="F5" s="28" t="n"/>
    </row>
    <row r="7">
      <c r="A7" s="4" t="inlineStr">
        <is>
          <t>Peer median</t>
        </is>
      </c>
      <c r="D7" s="29">
        <f>MEDIAN(D6:D5)</f>
        <v/>
      </c>
      <c r="E7" s="29">
        <f>MEDIAN(E6:E5)</f>
        <v/>
      </c>
      <c r="F7" s="29">
        <f>MEDIAN(F6:F5)</f>
        <v/>
      </c>
    </row>
    <row r="8">
      <c r="A8" s="4" t="inlineStr">
        <is>
          <t>Peer mean</t>
        </is>
      </c>
      <c r="D8" s="29">
        <f>AVERAGE(D6:D5)</f>
        <v/>
      </c>
      <c r="E8" s="29">
        <f>AVERAGE(E6:E5)</f>
        <v/>
      </c>
      <c r="F8" s="29">
        <f>AVERAGE(F6:F5)</f>
        <v/>
      </c>
    </row>
    <row r="9">
      <c r="A9" s="4" t="inlineStr">
        <is>
          <t>Target percentile vs peers</t>
        </is>
      </c>
      <c r="D9" s="30" t="n"/>
      <c r="E9" s="30" t="n"/>
      <c r="F9" s="30" t="n"/>
    </row>
    <row r="10">
      <c r="A10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2026-10-09T17:36:09Z</dcterms:created>
  <dcterms:modified xsi:type="dcterms:W3CDTF">2026-10-09T17:36:09Z</dcterms:modified>
</cp:coreProperties>
</file>
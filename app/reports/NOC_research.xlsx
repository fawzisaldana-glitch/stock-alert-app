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NOC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2026-05-30 22:16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0.493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534.71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563.6799999999999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-0.051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0.58</v>
      </c>
      <c r="C13" s="2" t="inlineStr"/>
    </row>
    <row r="14">
      <c r="A14" s="4" t="inlineStr">
        <is>
          <t>dcf_margin</t>
        </is>
      </c>
      <c r="B14" s="9" t="n">
        <v>0.449</v>
      </c>
      <c r="C14" s="2" t="inlineStr">
        <is>
          <t>Normalized (intrinsic − market) / market, clipped ±50%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NOC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0.0445300006866455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3307000000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17574000640</v>
      </c>
    </row>
    <row r="33">
      <c r="A33" s="4" t="inlineStr">
        <is>
          <t>Plus: cash &amp; ST investments</t>
        </is>
      </c>
      <c r="B33" s="13" t="n">
        <v>2090000000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142033465.1149589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563.6799999999999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NOC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NOC</t>
        </is>
      </c>
      <c r="B5" s="30" t="inlineStr">
        <is>
          <t>Northrop Grumman Corporation</t>
        </is>
      </c>
      <c r="C5" s="31" t="n">
        <v>80061423616</v>
      </c>
      <c r="D5" s="32" t="n">
        <v>17.67</v>
      </c>
      <c r="E5" s="32" t="n">
        <v>13.08</v>
      </c>
      <c r="F5" s="32" t="n">
        <v>2.25</v>
      </c>
    </row>
    <row r="7">
      <c r="A7" s="4" t="inlineStr">
        <is>
          <t>Peer median</t>
        </is>
      </c>
      <c r="D7" s="33">
        <f>MEDIAN(D6:D5)</f>
        <v/>
      </c>
      <c r="E7" s="33">
        <f>MEDIAN(E6:E5)</f>
        <v/>
      </c>
      <c r="F7" s="33">
        <f>MEDIAN(F6:F5)</f>
        <v/>
      </c>
    </row>
    <row r="8">
      <c r="A8" s="4" t="inlineStr">
        <is>
          <t>Peer mean</t>
        </is>
      </c>
      <c r="D8" s="33">
        <f>AVERAGE(D6:D5)</f>
        <v/>
      </c>
      <c r="E8" s="33">
        <f>AVERAGE(E6:E5)</f>
        <v/>
      </c>
      <c r="F8" s="33">
        <f>AVERAGE(F6:F5)</f>
        <v/>
      </c>
    </row>
    <row r="9">
      <c r="A9" s="4" t="inlineStr">
        <is>
          <t>Target percentile vs peers</t>
        </is>
      </c>
      <c r="D9" s="34" t="n"/>
      <c r="E9" s="34" t="n"/>
      <c r="F9" s="34" t="n"/>
    </row>
    <row r="10">
      <c r="A10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2026-05-31T05:16:08Z</dcterms:created>
  <dcterms:modified xsi:type="dcterms:W3CDTF">2026-05-31T05:16:08Z</dcterms:modified>
</cp:coreProperties>
</file>
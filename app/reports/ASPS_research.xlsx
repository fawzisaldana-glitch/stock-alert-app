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CF" sheetId="2" state="visible" r:id="rId2"/>
    <sheet name="Com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&quot;$&quot;#,##0.00"/>
    <numFmt numFmtId="165" formatCode="0.000"/>
    <numFmt numFmtId="166" formatCode="0.0%"/>
    <numFmt numFmtId="167" formatCode="&quot;$&quot;#,##0"/>
    <numFmt numFmtId="168" formatCode="0.0000"/>
    <numFmt numFmtId="169" formatCode="+0.0%;-0.0%"/>
    <numFmt numFmtId="170" formatCode="0.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595959"/>
      <sz val="9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sz val="10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3" fillId="0" borderId="0" pivotButton="0" quotePrefix="0" xfId="0"/>
    <xf numFmtId="2" fontId="4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165" fontId="4" fillId="0" borderId="0" pivotButton="0" quotePrefix="0" xfId="0"/>
    <xf numFmtId="10" fontId="4" fillId="4" borderId="0" pivotButton="0" quotePrefix="0" xfId="0"/>
    <xf numFmtId="2" fontId="4" fillId="4" borderId="0" pivotButton="0" quotePrefix="0" xfId="0"/>
    <xf numFmtId="166" fontId="4" fillId="4" borderId="0" pivotButton="0" quotePrefix="0" xfId="0"/>
    <xf numFmtId="167" fontId="4" fillId="4" borderId="0" pivotButton="0" quotePrefix="0" xfId="0"/>
    <xf numFmtId="10" fontId="4" fillId="5" borderId="0" pivotButton="0" quotePrefix="0" xfId="0"/>
    <xf numFmtId="0" fontId="5" fillId="0" borderId="0" pivotButton="0" quotePrefix="0" xfId="0"/>
    <xf numFmtId="10" fontId="5" fillId="5" borderId="0" pivotButton="0" quotePrefix="0" xfId="0"/>
    <xf numFmtId="167" fontId="4" fillId="5" borderId="0" pivotButton="0" quotePrefix="0" xfId="0"/>
    <xf numFmtId="168" fontId="4" fillId="5" borderId="0" pivotButton="0" quotePrefix="0" xfId="0"/>
    <xf numFmtId="0" fontId="6" fillId="0" borderId="0" pivotButton="0" quotePrefix="0" xfId="0"/>
    <xf numFmtId="167" fontId="6" fillId="5" borderId="0" pivotButton="0" quotePrefix="0" xfId="0"/>
    <xf numFmtId="3" fontId="4" fillId="4" borderId="0" pivotButton="0" quotePrefix="0" xfId="0"/>
    <xf numFmtId="164" fontId="6" fillId="5" borderId="0" pivotButton="0" quotePrefix="0" xfId="0"/>
    <xf numFmtId="164" fontId="4" fillId="4" borderId="0" pivotButton="0" quotePrefix="0" xfId="0"/>
    <xf numFmtId="169" fontId="6" fillId="5" borderId="0" pivotButton="0" quotePrefix="0" xfId="0"/>
    <xf numFmtId="0" fontId="3" fillId="3" borderId="0" pivotButton="0" quotePrefix="0" xfId="0"/>
    <xf numFmtId="10" fontId="4" fillId="3" borderId="0" pivotButton="0" quotePrefix="0" xfId="0"/>
    <xf numFmtId="164" fontId="4" fillId="5" borderId="0" pivotButton="0" quotePrefix="0" xfId="0"/>
    <xf numFmtId="164" fontId="6" fillId="6" borderId="0" pivotButton="0" quotePrefix="0" xfId="0"/>
    <xf numFmtId="0" fontId="1" fillId="2" borderId="0" applyAlignment="1" pivotButton="0" quotePrefix="0" xfId="0">
      <alignment horizontal="left"/>
    </xf>
    <xf numFmtId="0" fontId="6" fillId="6" borderId="0" pivotButton="0" quotePrefix="0" xfId="0"/>
    <xf numFmtId="167" fontId="0" fillId="6" borderId="0" pivotButton="0" quotePrefix="0" xfId="0"/>
    <xf numFmtId="170" fontId="0" fillId="6" borderId="0" pivotButton="0" quotePrefix="0" xfId="0"/>
    <xf numFmtId="167" fontId="0" fillId="0" borderId="0" pivotButton="0" quotePrefix="0" xfId="0"/>
    <xf numFmtId="170" fontId="0" fillId="0" borderId="0" pivotButton="0" quotePrefix="0" xfId="0"/>
    <xf numFmtId="170" fontId="4" fillId="5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research.py</author>
  </authors>
  <commentList>
    <comment ref="B5" authorId="0" shapeId="0">
      <text>
        <t>10y Treasury (^TNX via yfinance). Edit for a different RF.</t>
      </text>
    </comment>
    <comment ref="B6" authorId="0" shapeId="0">
      <text>
        <t>Damodaran-conservative US ERP. Adjust ±100bps to test sensitivity.</t>
      </text>
    </comment>
    <comment ref="B7" authorId="0" shapeId="0">
      <text>
        <t>From yfinance, clamped to [0.7,2.5] (Yahoo sometimes returns &lt;0). Override if you have a better estimate.</t>
      </text>
    </comment>
    <comment ref="B8" authorId="0" shapeId="0">
      <text>
        <t>Investment-grade default. Bump to 0.04 for HY-rated names.</t>
      </text>
    </comment>
    <comment ref="B9" authorId="0" shapeId="0">
      <text>
        <t>US federal statutory.</t>
      </text>
    </comment>
    <comment ref="B10" authorId="0" shapeId="0">
      <text>
        <t>70/30 default. Edit toward 0.50 for highly-levered names.</t>
      </text>
    </comment>
    <comment ref="B11" authorId="0" shapeId="0">
      <text>
        <t>Blended (g0+terminal)/2, approximating the app's two-stage fade from a clipped trailing-trend g0. Edit to test scenarios.</t>
      </text>
    </comment>
    <comment ref="B12" authorId="0" shapeId="0">
      <text>
        <t>Long-run US GDP. Anything &gt;3% is aggressive.</t>
      </text>
    </comment>
    <comment ref="B13" authorId="0" shapeId="0">
      <text>
        <t>From yfinance cash-flow (latest annual Free Cash Flow).</t>
      </text>
    </comment>
    <comment ref="B32" authorId="0" shapeId="0">
      <text>
        <t>From FMP balance sheet, totalDebt.</t>
      </text>
    </comment>
    <comment ref="B33" authorId="0" shapeId="0">
      <text>
        <t>From FMP balance sheet, cashAndShortTermInvestments.</t>
      </text>
    </comment>
    <comment ref="B35" authorId="0" shapeId="0">
      <text>
        <t>Derived: marketCap / price (FMP profile).</t>
      </text>
    </comment>
    <comment ref="B37" authorId="0" shapeId="0">
      <text>
        <t>FMP profile.price at generation.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60" customWidth="1" min="3" max="3"/>
  </cols>
  <sheetData>
    <row r="1">
      <c r="A1" s="1" t="inlineStr">
        <is>
          <t>ASPS — Valuation Snapshot</t>
        </is>
      </c>
      <c r="B1" s="1" t="n"/>
      <c r="C1" s="1" t="n"/>
    </row>
    <row r="2">
      <c r="A2" s="1" t="n"/>
      <c r="B2" s="1" t="n"/>
      <c r="C2" s="1" t="n"/>
    </row>
    <row r="3">
      <c r="A3" s="2" t="inlineStr">
        <is>
          <t>Generated 2026-08-03 17:35 · Source: FMP · Methodology: financial-analysis plugin (Anthropic FSI), adapted for free-tier data</t>
        </is>
      </c>
    </row>
    <row r="5">
      <c r="A5" s="3" t="inlineStr">
        <is>
          <t>Key numbers</t>
        </is>
      </c>
      <c r="B5" s="3" t="n"/>
      <c r="C5" s="3" t="n"/>
    </row>
    <row r="6">
      <c r="A6" s="4" t="inlineStr">
        <is>
          <t>Blended cheapness (0=rich, 1=cheap)</t>
        </is>
      </c>
      <c r="B6" s="5" t="n">
        <v>0.542</v>
      </c>
      <c r="C6" s="2" t="inlineStr">
        <is>
          <t>Re-weighted across factors that returned data — see DCF tab inputs to flex.</t>
        </is>
      </c>
    </row>
    <row r="7">
      <c r="A7" s="4" t="inlineStr">
        <is>
          <t>Confidence</t>
        </is>
      </c>
      <c r="B7" s="6" t="inlineStr">
        <is>
          <t>low</t>
        </is>
      </c>
      <c r="C7" s="2" t="inlineStr">
        <is>
          <t>low/medium/high based on how many of the 3 factors fired (ratings, comps, DCF).</t>
        </is>
      </c>
    </row>
    <row r="8">
      <c r="A8" s="4" t="inlineStr">
        <is>
          <t>DCF intrinsic value / share</t>
        </is>
      </c>
      <c r="B8" s="6" t="inlineStr">
        <is>
          <t>—</t>
        </is>
      </c>
      <c r="C8" s="2" t="inlineStr">
        <is>
          <t>From the DCF tab — flex WACC, growth, terminal-g on that tab and this updates.</t>
        </is>
      </c>
    </row>
    <row r="9">
      <c r="A9" s="4" t="inlineStr">
        <is>
          <t>Market price</t>
        </is>
      </c>
      <c r="B9" s="7" t="n">
        <v>5.695</v>
      </c>
      <c r="C9" s="2" t="inlineStr">
        <is>
          <t>Live at time of generation.</t>
        </is>
      </c>
    </row>
    <row r="10">
      <c r="A10" s="4" t="inlineStr">
        <is>
          <t>Margin of safety</t>
        </is>
      </c>
      <c r="B10" s="6" t="inlineStr">
        <is>
          <t>—</t>
        </is>
      </c>
      <c r="C10" s="2" t="inlineStr">
        <is>
          <t>(intrinsic - market) / market. Graham/Buffett convention is +20% before buying.</t>
        </is>
      </c>
    </row>
    <row r="12">
      <c r="A12" s="3" t="inlineStr">
        <is>
          <t>Cheapness factors (each 0..1, 1=cheap)</t>
        </is>
      </c>
      <c r="B12" s="3" t="n"/>
      <c r="C12" s="3" t="n"/>
    </row>
    <row r="13">
      <c r="A13" s="4" t="inlineStr">
        <is>
          <t>comps_percentile</t>
        </is>
      </c>
      <c r="B13" s="8" t="n">
        <v>0.542</v>
      </c>
      <c r="C13" s="2" t="inlineStr">
        <is>
          <t>Peer-relative ranking of P/E, EV/EBITDA, EV/Rev</t>
        </is>
      </c>
    </row>
    <row r="15">
      <c r="A15" s="3" t="inlineStr">
        <is>
          <t>Honest caveats (read before acting)</t>
        </is>
      </c>
      <c r="B15" s="3" t="n"/>
      <c r="C15" s="3" t="n"/>
    </row>
    <row r="16">
      <c r="A16" s="2" t="inlineStr">
        <is>
          <t>Lite DCF: 5y horizon, 70/30 equity/debt cap structure assumed, FCF growth from 3y trailing trend.</t>
        </is>
      </c>
    </row>
    <row r="17">
      <c r="A17" s="2" t="inlineStr">
        <is>
          <t>Peer set is FMP's algorithmic /stock-peers — may include weak comps for unusual business models.</t>
        </is>
      </c>
    </row>
    <row r="18">
      <c r="A18" s="2" t="inlineStr">
        <is>
          <t>Net cash treatment uses cashAndShortTermInvestments (operating cash); excludes LT marketable</t>
        </is>
      </c>
    </row>
    <row r="19">
      <c r="A19" s="2" t="inlineStr">
        <is>
          <t xml:space="preserve">  securities, which understates intrinsic for cash-rich companies like AAPL (~$80B in LT inv).</t>
        </is>
      </c>
    </row>
    <row r="20">
      <c r="A20" s="2" t="inlineStr">
        <is>
          <t>Margin of safety is normalized to 0..1; flip to the DCF tab for the raw % gap.</t>
        </is>
      </c>
    </row>
    <row r="21">
      <c r="A21" s="2" t="inlineStr">
        <is>
          <t>This is a SIGNAL screen, not an investment thesis. Verify with primary filings before acting.</t>
        </is>
      </c>
    </row>
  </sheetData>
  <mergeCells count="11">
    <mergeCell ref="A19:C19"/>
    <mergeCell ref="A5:C5"/>
    <mergeCell ref="A1:C2"/>
    <mergeCell ref="A17:C17"/>
    <mergeCell ref="A18:C18"/>
    <mergeCell ref="A3:C3"/>
    <mergeCell ref="A21:C21"/>
    <mergeCell ref="A12:C12"/>
    <mergeCell ref="A20:C20"/>
    <mergeCell ref="A16:C16"/>
    <mergeCell ref="A15:C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ASPS — Discounted Cash Flow Model (Lite, 5y)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" t="inlineStr">
        <is>
          <t>Yellow cells = inputs you can edit. Grey cells = formulas that recalculate.</t>
        </is>
      </c>
    </row>
    <row r="4">
      <c r="A4" s="3" t="inlineStr">
        <is>
          <t>Inputs &amp; assumptions (edit yellow cells)</t>
        </is>
      </c>
      <c r="B4" s="3" t="n"/>
      <c r="C4" s="3" t="n"/>
      <c r="D4" s="3" t="n"/>
      <c r="E4" s="3" t="n"/>
      <c r="F4" s="3" t="n"/>
      <c r="G4" s="3" t="n"/>
      <c r="H4" s="3" t="n"/>
    </row>
    <row r="5">
      <c r="A5" s="4" t="inlineStr">
        <is>
          <t>Risk-free rate (10y Treasury)</t>
        </is>
      </c>
      <c r="B5" s="9" t="n">
        <v>0.04690000057220459</v>
      </c>
    </row>
    <row r="6">
      <c r="A6" s="4" t="inlineStr">
        <is>
          <t>Equity risk premium (ERP)</t>
        </is>
      </c>
      <c r="B6" s="9" t="n">
        <v>0.05</v>
      </c>
    </row>
    <row r="7">
      <c r="A7" s="4" t="inlineStr">
        <is>
          <t>Beta (levered)</t>
        </is>
      </c>
      <c r="B7" s="10" t="n">
        <v>0.7</v>
      </c>
    </row>
    <row r="8">
      <c r="A8" s="4" t="inlineStr">
        <is>
          <t>Credit spread over risk-free</t>
        </is>
      </c>
      <c r="B8" s="9" t="n">
        <v>0.02</v>
      </c>
    </row>
    <row r="9">
      <c r="A9" s="4" t="inlineStr">
        <is>
          <t>Tax rate</t>
        </is>
      </c>
      <c r="B9" s="9" t="n">
        <v>0.21</v>
      </c>
    </row>
    <row r="10">
      <c r="A10" s="4" t="inlineStr">
        <is>
          <t>Equity weight (cap structure)</t>
        </is>
      </c>
      <c r="B10" s="11" t="n">
        <v>0.7</v>
      </c>
    </row>
    <row r="11">
      <c r="A11" s="4" t="inlineStr">
        <is>
          <t>FCF growth (flat, faded avg)</t>
        </is>
      </c>
      <c r="B11" s="9" t="n">
        <v>0.0125</v>
      </c>
    </row>
    <row r="12">
      <c r="A12" s="4" t="inlineStr">
        <is>
          <t>Terminal growth rate</t>
        </is>
      </c>
      <c r="B12" s="9" t="n">
        <v>0.025</v>
      </c>
    </row>
    <row r="13">
      <c r="A13" s="4" t="inlineStr">
        <is>
          <t>Latest FCF ($, base year)</t>
        </is>
      </c>
      <c r="B13" s="12" t="n">
        <v>-5134000</v>
      </c>
    </row>
    <row r="15">
      <c r="A15" s="4" t="inlineStr">
        <is>
          <t>Cost of equity (CAPM)</t>
        </is>
      </c>
      <c r="B15" s="13">
        <f>B5+B7*B6</f>
        <v/>
      </c>
    </row>
    <row r="16">
      <c r="A16" s="4" t="inlineStr">
        <is>
          <t>After-tax cost of debt</t>
        </is>
      </c>
      <c r="B16" s="13">
        <f>(B5+B8)*(1-B9)</f>
        <v/>
      </c>
    </row>
    <row r="17">
      <c r="A17" s="14" t="inlineStr">
        <is>
          <t>WACC</t>
        </is>
      </c>
      <c r="B17" s="15">
        <f>B10*B15+(1-B10)*B16</f>
        <v/>
      </c>
    </row>
    <row r="20">
      <c r="A20" s="3" t="inlineStr">
        <is>
          <t>5-year FCF projection &amp; PV</t>
        </is>
      </c>
      <c r="B20" s="3" t="n"/>
      <c r="C20" s="3" t="n"/>
      <c r="D20" s="3" t="n"/>
      <c r="E20" s="3" t="n"/>
      <c r="F20" s="3" t="n"/>
      <c r="G20" s="3" t="n"/>
      <c r="H20" s="3" t="n"/>
    </row>
    <row r="21">
      <c r="A21" s="4" t="inlineStr">
        <is>
          <t>Year</t>
        </is>
      </c>
      <c r="B21" s="4" t="n">
        <v>1</v>
      </c>
      <c r="C21" s="4" t="n">
        <v>2</v>
      </c>
      <c r="D21" s="4" t="n">
        <v>3</v>
      </c>
      <c r="E21" s="4" t="n">
        <v>4</v>
      </c>
      <c r="F21" s="4" t="n">
        <v>5</v>
      </c>
    </row>
    <row r="22">
      <c r="A22" s="4" t="inlineStr">
        <is>
          <t>Projected FCF</t>
        </is>
      </c>
      <c r="B22" s="16">
        <f>$B$13*(1+$B$11)</f>
        <v/>
      </c>
      <c r="C22" s="16">
        <f>B22*(1+$B$11)</f>
        <v/>
      </c>
      <c r="D22" s="16">
        <f>C22*(1+$B$11)</f>
        <v/>
      </c>
      <c r="E22" s="16">
        <f>D22*(1+$B$11)</f>
        <v/>
      </c>
      <c r="F22" s="16">
        <f>E22*(1+$B$11)</f>
        <v/>
      </c>
    </row>
    <row r="23">
      <c r="A23" s="4" t="inlineStr">
        <is>
          <t>Discount factor</t>
        </is>
      </c>
      <c r="B23" s="17">
        <f>1/(1+$B$17)^1</f>
        <v/>
      </c>
      <c r="C23" s="17">
        <f>1/(1+$B$17)^2</f>
        <v/>
      </c>
      <c r="D23" s="17">
        <f>1/(1+$B$17)^3</f>
        <v/>
      </c>
      <c r="E23" s="17">
        <f>1/(1+$B$17)^4</f>
        <v/>
      </c>
      <c r="F23" s="17">
        <f>1/(1+$B$17)^5</f>
        <v/>
      </c>
    </row>
    <row r="24">
      <c r="A24" s="4" t="inlineStr">
        <is>
          <t>PV of FCF</t>
        </is>
      </c>
      <c r="B24" s="16">
        <f>B22*B23</f>
        <v/>
      </c>
      <c r="C24" s="16">
        <f>C22*C23</f>
        <v/>
      </c>
      <c r="D24" s="16">
        <f>D22*D23</f>
        <v/>
      </c>
      <c r="E24" s="16">
        <f>E22*E23</f>
        <v/>
      </c>
      <c r="F24" s="16">
        <f>F22*F23</f>
        <v/>
      </c>
    </row>
    <row r="26">
      <c r="A26" s="4" t="inlineStr">
        <is>
          <t>Sum of PV (explicit 5y)</t>
        </is>
      </c>
      <c r="B26" s="16">
        <f>SUM(B24:F24)</f>
        <v/>
      </c>
    </row>
    <row r="27">
      <c r="A27" s="4" t="inlineStr">
        <is>
          <t>Terminal value (Gordon)</t>
        </is>
      </c>
      <c r="B27" s="16">
        <f>F22*(1+B12)/(B17-B12)</f>
        <v/>
      </c>
    </row>
    <row r="28">
      <c r="A28" s="4" t="inlineStr">
        <is>
          <t>PV of terminal value</t>
        </is>
      </c>
      <c r="B28" s="16">
        <f>B27/(1+B17)^5</f>
        <v/>
      </c>
    </row>
    <row r="29">
      <c r="A29" s="18" t="inlineStr">
        <is>
          <t>Enterprise value</t>
        </is>
      </c>
      <c r="B29" s="19">
        <f>B26+B28</f>
        <v/>
      </c>
    </row>
    <row r="31">
      <c r="A31" s="3" t="inlineStr">
        <is>
          <t>Equity bridge → intrinsic per share</t>
        </is>
      </c>
      <c r="B31" s="3" t="n"/>
      <c r="C31" s="3" t="n"/>
      <c r="D31" s="3" t="n"/>
      <c r="E31" s="3" t="n"/>
      <c r="F31" s="3" t="n"/>
      <c r="G31" s="3" t="n"/>
      <c r="H31" s="3" t="n"/>
    </row>
    <row r="32">
      <c r="A32" s="4" t="inlineStr">
        <is>
          <t>Less: total debt</t>
        </is>
      </c>
      <c r="B32" s="12" t="n">
        <v>186912992</v>
      </c>
    </row>
    <row r="33">
      <c r="A33" s="4" t="inlineStr">
        <is>
          <t>Plus: cash &amp; ST investments</t>
        </is>
      </c>
      <c r="B33" s="12" t="n">
        <v>23186000</v>
      </c>
    </row>
    <row r="34">
      <c r="A34" s="4" t="inlineStr">
        <is>
          <t>Equity value</t>
        </is>
      </c>
      <c r="B34" s="16">
        <f>B29-B32+B33</f>
        <v/>
      </c>
    </row>
    <row r="35">
      <c r="A35" s="4" t="inlineStr">
        <is>
          <t>Diluted shares outstanding</t>
        </is>
      </c>
      <c r="B35" s="20" t="n">
        <v>11420206.49692713</v>
      </c>
    </row>
    <row r="36">
      <c r="A36" s="18" t="inlineStr">
        <is>
          <t>Intrinsic per share</t>
        </is>
      </c>
      <c r="B36" s="21">
        <f>B34/B35</f>
        <v/>
      </c>
    </row>
    <row r="37">
      <c r="A37" s="4" t="inlineStr">
        <is>
          <t>Current market price</t>
        </is>
      </c>
      <c r="B37" s="22" t="n">
        <v>5.695</v>
      </c>
    </row>
    <row r="38">
      <c r="A38" s="18" t="inlineStr">
        <is>
          <t>Margin of safety</t>
        </is>
      </c>
      <c r="B38" s="23">
        <f>(B36-B37)/B37</f>
        <v/>
      </c>
    </row>
    <row r="41">
      <c r="A41" s="3" t="inlineStr">
        <is>
          <t>Sensitivity: intrinsic / share by WACC × terminal-g</t>
        </is>
      </c>
      <c r="B41" s="3" t="n"/>
      <c r="C41" s="3" t="n"/>
      <c r="D41" s="3" t="n"/>
      <c r="E41" s="3" t="n"/>
      <c r="F41" s="3" t="n"/>
      <c r="G41" s="3" t="n"/>
      <c r="H41" s="3" t="n"/>
    </row>
    <row r="42">
      <c r="A42" s="24" t="inlineStr">
        <is>
          <t>WACC ↓ / TermG →</t>
        </is>
      </c>
      <c r="B42" s="25">
        <f>$B$12+-0.01</f>
        <v/>
      </c>
      <c r="C42" s="25">
        <f>$B$12+-0.005</f>
        <v/>
      </c>
      <c r="D42" s="25">
        <f>$B$12+0.0</f>
        <v/>
      </c>
      <c r="E42" s="25">
        <f>$B$12+0.005</f>
        <v/>
      </c>
      <c r="F42" s="25">
        <f>$B$12+0.01</f>
        <v/>
      </c>
    </row>
    <row r="43">
      <c r="A43" s="25">
        <f>$B$17+-0.01</f>
        <v/>
      </c>
      <c r="B43" s="26">
        <f>($B$13*(1+$B$11)^1/(1+A43)^1+$B$13*(1+$B$11)^2/(1+A43)^2+$B$13*(1+$B$11)^3/(1+A43)^3+$B$13*(1+$B$11)^4/(1+A43)^4+$B$13*(1+$B$11)^5/(1+A43)^5+($B$13*(1+$B$11)^5*(1+B$42)/(A43-B$42))/(1+A43)^5-$B$32+$B$33)/$B$35</f>
        <v/>
      </c>
      <c r="C43" s="26">
        <f>($B$13*(1+$B$11)^1/(1+A43)^1+$B$13*(1+$B$11)^2/(1+A43)^2+$B$13*(1+$B$11)^3/(1+A43)^3+$B$13*(1+$B$11)^4/(1+A43)^4+$B$13*(1+$B$11)^5/(1+A43)^5+($B$13*(1+$B$11)^5*(1+C$42)/(A43-C$42))/(1+A43)^5-$B$32+$B$33)/$B$35</f>
        <v/>
      </c>
      <c r="D43" s="26">
        <f>($B$13*(1+$B$11)^1/(1+A43)^1+$B$13*(1+$B$11)^2/(1+A43)^2+$B$13*(1+$B$11)^3/(1+A43)^3+$B$13*(1+$B$11)^4/(1+A43)^4+$B$13*(1+$B$11)^5/(1+A43)^5+($B$13*(1+$B$11)^5*(1+D$42)/(A43-D$42))/(1+A43)^5-$B$32+$B$33)/$B$35</f>
        <v/>
      </c>
      <c r="E43" s="26">
        <f>($B$13*(1+$B$11)^1/(1+A43)^1+$B$13*(1+$B$11)^2/(1+A43)^2+$B$13*(1+$B$11)^3/(1+A43)^3+$B$13*(1+$B$11)^4/(1+A43)^4+$B$13*(1+$B$11)^5/(1+A43)^5+($B$13*(1+$B$11)^5*(1+E$42)/(A43-E$42))/(1+A43)^5-$B$32+$B$33)/$B$35</f>
        <v/>
      </c>
      <c r="F43" s="26">
        <f>($B$13*(1+$B$11)^1/(1+A43)^1+$B$13*(1+$B$11)^2/(1+A43)^2+$B$13*(1+$B$11)^3/(1+A43)^3+$B$13*(1+$B$11)^4/(1+A43)^4+$B$13*(1+$B$11)^5/(1+A43)^5+($B$13*(1+$B$11)^5*(1+F$42)/(A43-F$42))/(1+A43)^5-$B$32+$B$33)/$B$35</f>
        <v/>
      </c>
    </row>
    <row r="44">
      <c r="A44" s="25">
        <f>$B$17+-0.005</f>
        <v/>
      </c>
      <c r="B44" s="26">
        <f>($B$13*(1+$B$11)^1/(1+A44)^1+$B$13*(1+$B$11)^2/(1+A44)^2+$B$13*(1+$B$11)^3/(1+A44)^3+$B$13*(1+$B$11)^4/(1+A44)^4+$B$13*(1+$B$11)^5/(1+A44)^5+($B$13*(1+$B$11)^5*(1+B$42)/(A44-B$42))/(1+A44)^5-$B$32+$B$33)/$B$35</f>
        <v/>
      </c>
      <c r="C44" s="26">
        <f>($B$13*(1+$B$11)^1/(1+A44)^1+$B$13*(1+$B$11)^2/(1+A44)^2+$B$13*(1+$B$11)^3/(1+A44)^3+$B$13*(1+$B$11)^4/(1+A44)^4+$B$13*(1+$B$11)^5/(1+A44)^5+($B$13*(1+$B$11)^5*(1+C$42)/(A44-C$42))/(1+A44)^5-$B$32+$B$33)/$B$35</f>
        <v/>
      </c>
      <c r="D44" s="26">
        <f>($B$13*(1+$B$11)^1/(1+A44)^1+$B$13*(1+$B$11)^2/(1+A44)^2+$B$13*(1+$B$11)^3/(1+A44)^3+$B$13*(1+$B$11)^4/(1+A44)^4+$B$13*(1+$B$11)^5/(1+A44)^5+($B$13*(1+$B$11)^5*(1+D$42)/(A44-D$42))/(1+A44)^5-$B$32+$B$33)/$B$35</f>
        <v/>
      </c>
      <c r="E44" s="26">
        <f>($B$13*(1+$B$11)^1/(1+A44)^1+$B$13*(1+$B$11)^2/(1+A44)^2+$B$13*(1+$B$11)^3/(1+A44)^3+$B$13*(1+$B$11)^4/(1+A44)^4+$B$13*(1+$B$11)^5/(1+A44)^5+($B$13*(1+$B$11)^5*(1+E$42)/(A44-E$42))/(1+A44)^5-$B$32+$B$33)/$B$35</f>
        <v/>
      </c>
      <c r="F44" s="26">
        <f>($B$13*(1+$B$11)^1/(1+A44)^1+$B$13*(1+$B$11)^2/(1+A44)^2+$B$13*(1+$B$11)^3/(1+A44)^3+$B$13*(1+$B$11)^4/(1+A44)^4+$B$13*(1+$B$11)^5/(1+A44)^5+($B$13*(1+$B$11)^5*(1+F$42)/(A44-F$42))/(1+A44)^5-$B$32+$B$33)/$B$35</f>
        <v/>
      </c>
    </row>
    <row r="45">
      <c r="A45" s="25">
        <f>$B$17+0.0</f>
        <v/>
      </c>
      <c r="B45" s="26">
        <f>($B$13*(1+$B$11)^1/(1+A45)^1+$B$13*(1+$B$11)^2/(1+A45)^2+$B$13*(1+$B$11)^3/(1+A45)^3+$B$13*(1+$B$11)^4/(1+A45)^4+$B$13*(1+$B$11)^5/(1+A45)^5+($B$13*(1+$B$11)^5*(1+B$42)/(A45-B$42))/(1+A45)^5-$B$32+$B$33)/$B$35</f>
        <v/>
      </c>
      <c r="C45" s="26">
        <f>($B$13*(1+$B$11)^1/(1+A45)^1+$B$13*(1+$B$11)^2/(1+A45)^2+$B$13*(1+$B$11)^3/(1+A45)^3+$B$13*(1+$B$11)^4/(1+A45)^4+$B$13*(1+$B$11)^5/(1+A45)^5+($B$13*(1+$B$11)^5*(1+C$42)/(A45-C$42))/(1+A45)^5-$B$32+$B$33)/$B$35</f>
        <v/>
      </c>
      <c r="D45" s="27">
        <f>($B$13*(1+$B$11)^1/(1+A45)^1+$B$13*(1+$B$11)^2/(1+A45)^2+$B$13*(1+$B$11)^3/(1+A45)^3+$B$13*(1+$B$11)^4/(1+A45)^4+$B$13*(1+$B$11)^5/(1+A45)^5+($B$13*(1+$B$11)^5*(1+D$42)/(A45-D$42))/(1+A45)^5-$B$32+$B$33)/$B$35</f>
        <v/>
      </c>
      <c r="E45" s="26">
        <f>($B$13*(1+$B$11)^1/(1+A45)^1+$B$13*(1+$B$11)^2/(1+A45)^2+$B$13*(1+$B$11)^3/(1+A45)^3+$B$13*(1+$B$11)^4/(1+A45)^4+$B$13*(1+$B$11)^5/(1+A45)^5+($B$13*(1+$B$11)^5*(1+E$42)/(A45-E$42))/(1+A45)^5-$B$32+$B$33)/$B$35</f>
        <v/>
      </c>
      <c r="F45" s="26">
        <f>($B$13*(1+$B$11)^1/(1+A45)^1+$B$13*(1+$B$11)^2/(1+A45)^2+$B$13*(1+$B$11)^3/(1+A45)^3+$B$13*(1+$B$11)^4/(1+A45)^4+$B$13*(1+$B$11)^5/(1+A45)^5+($B$13*(1+$B$11)^5*(1+F$42)/(A45-F$42))/(1+A45)^5-$B$32+$B$33)/$B$35</f>
        <v/>
      </c>
    </row>
    <row r="46">
      <c r="A46" s="25">
        <f>$B$17+0.005</f>
        <v/>
      </c>
      <c r="B46" s="26">
        <f>($B$13*(1+$B$11)^1/(1+A46)^1+$B$13*(1+$B$11)^2/(1+A46)^2+$B$13*(1+$B$11)^3/(1+A46)^3+$B$13*(1+$B$11)^4/(1+A46)^4+$B$13*(1+$B$11)^5/(1+A46)^5+($B$13*(1+$B$11)^5*(1+B$42)/(A46-B$42))/(1+A46)^5-$B$32+$B$33)/$B$35</f>
        <v/>
      </c>
      <c r="C46" s="26">
        <f>($B$13*(1+$B$11)^1/(1+A46)^1+$B$13*(1+$B$11)^2/(1+A46)^2+$B$13*(1+$B$11)^3/(1+A46)^3+$B$13*(1+$B$11)^4/(1+A46)^4+$B$13*(1+$B$11)^5/(1+A46)^5+($B$13*(1+$B$11)^5*(1+C$42)/(A46-C$42))/(1+A46)^5-$B$32+$B$33)/$B$35</f>
        <v/>
      </c>
      <c r="D46" s="26">
        <f>($B$13*(1+$B$11)^1/(1+A46)^1+$B$13*(1+$B$11)^2/(1+A46)^2+$B$13*(1+$B$11)^3/(1+A46)^3+$B$13*(1+$B$11)^4/(1+A46)^4+$B$13*(1+$B$11)^5/(1+A46)^5+($B$13*(1+$B$11)^5*(1+D$42)/(A46-D$42))/(1+A46)^5-$B$32+$B$33)/$B$35</f>
        <v/>
      </c>
      <c r="E46" s="26">
        <f>($B$13*(1+$B$11)^1/(1+A46)^1+$B$13*(1+$B$11)^2/(1+A46)^2+$B$13*(1+$B$11)^3/(1+A46)^3+$B$13*(1+$B$11)^4/(1+A46)^4+$B$13*(1+$B$11)^5/(1+A46)^5+($B$13*(1+$B$11)^5*(1+E$42)/(A46-E$42))/(1+A46)^5-$B$32+$B$33)/$B$35</f>
        <v/>
      </c>
      <c r="F46" s="26">
        <f>($B$13*(1+$B$11)^1/(1+A46)^1+$B$13*(1+$B$11)^2/(1+A46)^2+$B$13*(1+$B$11)^3/(1+A46)^3+$B$13*(1+$B$11)^4/(1+A46)^4+$B$13*(1+$B$11)^5/(1+A46)^5+($B$13*(1+$B$11)^5*(1+F$42)/(A46-F$42))/(1+A46)^5-$B$32+$B$33)/$B$35</f>
        <v/>
      </c>
    </row>
    <row r="47">
      <c r="A47" s="25">
        <f>$B$17+0.01</f>
        <v/>
      </c>
      <c r="B47" s="26">
        <f>($B$13*(1+$B$11)^1/(1+A47)^1+$B$13*(1+$B$11)^2/(1+A47)^2+$B$13*(1+$B$11)^3/(1+A47)^3+$B$13*(1+$B$11)^4/(1+A47)^4+$B$13*(1+$B$11)^5/(1+A47)^5+($B$13*(1+$B$11)^5*(1+B$42)/(A47-B$42))/(1+A47)^5-$B$32+$B$33)/$B$35</f>
        <v/>
      </c>
      <c r="C47" s="26">
        <f>($B$13*(1+$B$11)^1/(1+A47)^1+$B$13*(1+$B$11)^2/(1+A47)^2+$B$13*(1+$B$11)^3/(1+A47)^3+$B$13*(1+$B$11)^4/(1+A47)^4+$B$13*(1+$B$11)^5/(1+A47)^5+($B$13*(1+$B$11)^5*(1+C$42)/(A47-C$42))/(1+A47)^5-$B$32+$B$33)/$B$35</f>
        <v/>
      </c>
      <c r="D47" s="26">
        <f>($B$13*(1+$B$11)^1/(1+A47)^1+$B$13*(1+$B$11)^2/(1+A47)^2+$B$13*(1+$B$11)^3/(1+A47)^3+$B$13*(1+$B$11)^4/(1+A47)^4+$B$13*(1+$B$11)^5/(1+A47)^5+($B$13*(1+$B$11)^5*(1+D$42)/(A47-D$42))/(1+A47)^5-$B$32+$B$33)/$B$35</f>
        <v/>
      </c>
      <c r="E47" s="26">
        <f>($B$13*(1+$B$11)^1/(1+A47)^1+$B$13*(1+$B$11)^2/(1+A47)^2+$B$13*(1+$B$11)^3/(1+A47)^3+$B$13*(1+$B$11)^4/(1+A47)^4+$B$13*(1+$B$11)^5/(1+A47)^5+($B$13*(1+$B$11)^5*(1+E$42)/(A47-E$42))/(1+A47)^5-$B$32+$B$33)/$B$35</f>
        <v/>
      </c>
      <c r="F47" s="26">
        <f>($B$13*(1+$B$11)^1/(1+A47)^1+$B$13*(1+$B$11)^2/(1+A47)^2+$B$13*(1+$B$11)^3/(1+A47)^3+$B$13*(1+$B$11)^4/(1+A47)^4+$B$13*(1+$B$11)^5/(1+A47)^5+($B$13*(1+$B$11)^5*(1+F$42)/(A47-F$42))/(1+A47)^5-$B$32+$B$33)/$B$35</f>
        <v/>
      </c>
    </row>
  </sheetData>
  <mergeCells count="6">
    <mergeCell ref="A4:H4"/>
    <mergeCell ref="A20:H20"/>
    <mergeCell ref="A2:H2"/>
    <mergeCell ref="A41:H41"/>
    <mergeCell ref="A1:H1"/>
    <mergeCell ref="A31:H31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16" customWidth="1" min="3" max="3"/>
    <col width="12" customWidth="1" min="4" max="4"/>
    <col width="14" customWidth="1" min="5" max="5"/>
    <col width="14" customWidth="1" min="6" max="6"/>
  </cols>
  <sheetData>
    <row r="1">
      <c r="A1" s="1" t="inlineStr">
        <is>
          <t>ASPS — Comparable Companies Analysis</t>
        </is>
      </c>
      <c r="B1" s="1" t="n"/>
      <c r="C1" s="1" t="n"/>
      <c r="D1" s="1" t="n"/>
      <c r="E1" s="1" t="n"/>
      <c r="F1" s="1" t="n"/>
    </row>
    <row r="2">
      <c r="A2" s="2" t="inlineStr">
        <is>
          <t>Peer set from FMP /stock-peers. Highlighted row = target. Stats below for percentile context.</t>
        </is>
      </c>
    </row>
    <row r="4">
      <c r="A4" s="28" t="inlineStr">
        <is>
          <t>Ticker</t>
        </is>
      </c>
      <c r="B4" s="28" t="inlineStr">
        <is>
          <t>Name</t>
        </is>
      </c>
      <c r="C4" s="28" t="inlineStr">
        <is>
          <t>Market Cap</t>
        </is>
      </c>
      <c r="D4" s="28" t="inlineStr">
        <is>
          <t>P/E (TTM)</t>
        </is>
      </c>
      <c r="E4" s="28" t="inlineStr">
        <is>
          <t>EV/EBITDA</t>
        </is>
      </c>
      <c r="F4" s="28" t="inlineStr">
        <is>
          <t>EV/Revenue</t>
        </is>
      </c>
    </row>
    <row r="5">
      <c r="A5" s="29" t="inlineStr">
        <is>
          <t>ASPS</t>
        </is>
      </c>
      <c r="B5" s="29" t="inlineStr">
        <is>
          <t>Altisource Portfolio Solutions S.A.</t>
        </is>
      </c>
      <c r="C5" s="30" t="n">
        <v>65038076</v>
      </c>
      <c r="D5" s="31" t="n"/>
      <c r="E5" s="31" t="n">
        <v>22.65</v>
      </c>
      <c r="F5" s="31" t="n">
        <v>1.25</v>
      </c>
    </row>
    <row r="6">
      <c r="A6" t="inlineStr">
        <is>
          <t>AXR</t>
        </is>
      </c>
      <c r="B6" t="inlineStr">
        <is>
          <t>AMREP Corporation</t>
        </is>
      </c>
      <c r="C6" s="32" t="n">
        <v>122019576</v>
      </c>
      <c r="D6" s="33" t="n">
        <v>9.543568</v>
      </c>
      <c r="E6" s="33" t="n">
        <v>5.573</v>
      </c>
      <c r="F6" s="33" t="n">
        <v>1.34</v>
      </c>
    </row>
    <row r="7">
      <c r="A7" t="inlineStr">
        <is>
          <t>BEEP</t>
        </is>
      </c>
      <c r="B7" t="inlineStr">
        <is>
          <t>Mobile Infrastructure Corporati</t>
        </is>
      </c>
      <c r="C7" s="32" t="n">
        <v>75588176</v>
      </c>
      <c r="D7" s="33" t="n"/>
      <c r="E7" s="33" t="n">
        <v>25.205</v>
      </c>
      <c r="F7" s="33" t="n">
        <v>8.182</v>
      </c>
    </row>
    <row r="8">
      <c r="A8" t="inlineStr">
        <is>
          <t>CHCI</t>
        </is>
      </c>
      <c r="B8" t="inlineStr">
        <is>
          <t>Comstock Holding Companies, Inc</t>
        </is>
      </c>
      <c r="C8" s="32" t="n">
        <v>149271776</v>
      </c>
      <c r="D8" s="33" t="n">
        <v>8.712574999999999</v>
      </c>
      <c r="E8" s="33" t="n">
        <v>10.816</v>
      </c>
      <c r="F8" s="33" t="n">
        <v>1.923</v>
      </c>
    </row>
    <row r="9">
      <c r="A9" t="inlineStr">
        <is>
          <t>FSP</t>
        </is>
      </c>
      <c r="B9" t="inlineStr">
        <is>
          <t>Franklin Street Properties Corp</t>
        </is>
      </c>
      <c r="C9" s="32" t="n">
        <v>48303040</v>
      </c>
      <c r="D9" s="33" t="n"/>
      <c r="E9" s="33" t="n">
        <v>7.787</v>
      </c>
      <c r="F9" s="33" t="n">
        <v>2.633</v>
      </c>
    </row>
    <row r="10">
      <c r="A10" t="inlineStr">
        <is>
          <t>GPMT</t>
        </is>
      </c>
      <c r="B10" t="inlineStr">
        <is>
          <t>Granite Point Mortgage Trust In</t>
        </is>
      </c>
      <c r="C10" s="32" t="n">
        <v>68525056</v>
      </c>
      <c r="D10" s="33" t="n"/>
      <c r="E10" s="33" t="n"/>
      <c r="F10" s="33" t="n">
        <v>97.16800000000001</v>
      </c>
    </row>
    <row r="11">
      <c r="A11" t="inlineStr">
        <is>
          <t>LHAI</t>
        </is>
      </c>
      <c r="B11" t="inlineStr">
        <is>
          <t>Linkhome Holdings Inc.</t>
        </is>
      </c>
      <c r="C11" s="32" t="n">
        <v>14217453</v>
      </c>
      <c r="D11" s="33" t="n"/>
      <c r="E11" s="33" t="n">
        <v>-54.02</v>
      </c>
      <c r="F11" s="33" t="n">
        <v>0.537</v>
      </c>
    </row>
    <row r="12">
      <c r="A12" t="inlineStr">
        <is>
          <t>LODE</t>
        </is>
      </c>
      <c r="B12" t="inlineStr">
        <is>
          <t>Comstock Inc.</t>
        </is>
      </c>
      <c r="C12" s="32" t="n">
        <v>223564032</v>
      </c>
      <c r="D12" s="33" t="n"/>
      <c r="E12" s="33" t="n">
        <v>-5.11</v>
      </c>
      <c r="F12" s="33" t="n">
        <v>196.647</v>
      </c>
    </row>
    <row r="13">
      <c r="A13" t="inlineStr">
        <is>
          <t>ONL</t>
        </is>
      </c>
      <c r="B13" t="inlineStr">
        <is>
          <t>Orion Properties Inc.</t>
        </is>
      </c>
      <c r="C13" s="32" t="n">
        <v>152304592</v>
      </c>
      <c r="D13" s="33" t="n"/>
      <c r="E13" s="33" t="n">
        <v>13.389</v>
      </c>
      <c r="F13" s="33" t="n">
        <v>4.817</v>
      </c>
    </row>
    <row r="15">
      <c r="A15" s="4" t="inlineStr">
        <is>
          <t>Peer median</t>
        </is>
      </c>
      <c r="D15" s="34">
        <f>MEDIAN(D6:D13)</f>
        <v/>
      </c>
      <c r="E15" s="34">
        <f>MEDIAN(E6:E13)</f>
        <v/>
      </c>
      <c r="F15" s="34">
        <f>MEDIAN(F6:F13)</f>
        <v/>
      </c>
    </row>
    <row r="16">
      <c r="A16" s="4" t="inlineStr">
        <is>
          <t>Peer mean</t>
        </is>
      </c>
      <c r="D16" s="34">
        <f>AVERAGE(D6:D13)</f>
        <v/>
      </c>
      <c r="E16" s="34">
        <f>AVERAGE(E6:E13)</f>
        <v/>
      </c>
      <c r="F16" s="34">
        <f>AVERAGE(F6:F13)</f>
        <v/>
      </c>
    </row>
    <row r="17">
      <c r="A17" s="4" t="inlineStr">
        <is>
          <t>Target percentile vs peers</t>
        </is>
      </c>
      <c r="D17" s="35" t="n"/>
      <c r="E17" s="35" t="n">
        <v>0.75</v>
      </c>
      <c r="F17" s="35" t="n">
        <v>0.167</v>
      </c>
    </row>
    <row r="18">
      <c r="A18" s="2" t="inlineStr">
        <is>
          <t>(higher pct = more expensive than peers)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2026-08-03T17:35:47Z</dcterms:created>
  <dcterms:modified xsi:type="dcterms:W3CDTF">2026-08-03T17:35:47Z</dcterms:modified>
</cp:coreProperties>
</file>
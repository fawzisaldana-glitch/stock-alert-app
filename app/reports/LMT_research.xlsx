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+0.0%;-0.0%"/>
    <numFmt numFmtId="166" formatCode="0.000"/>
    <numFmt numFmtId="167" formatCode="0.0%"/>
    <numFmt numFmtId="168" formatCode="&quot;$&quot;#,##0"/>
    <numFmt numFmtId="169" formatCode="0.0000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0" fontId="6" fillId="0" borderId="0" pivotButton="0" quotePrefix="0" xfId="0"/>
    <xf numFmtId="168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5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8" fontId="0" fillId="6" borderId="0" pivotButton="0" quotePrefix="0" xfId="0"/>
    <xf numFmtId="170" fontId="0" fillId="6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LMT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2026-09-13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0.67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high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7" t="n">
        <v>576.91</v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524.1900000000001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8" t="n">
        <v>0.101</v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9" t="n">
        <v>0.391</v>
      </c>
      <c r="C13" s="2" t="inlineStr"/>
    </row>
    <row r="14">
      <c r="A14" s="4" t="inlineStr">
        <is>
          <t>comps_percentile</t>
        </is>
      </c>
      <c r="B14" s="9" t="n">
        <v>0.878</v>
      </c>
      <c r="C14" s="2" t="inlineStr">
        <is>
          <t>Peer-relative ranking of P/E, EV/EBITDA, EV/Rev</t>
        </is>
      </c>
    </row>
    <row r="15">
      <c r="A15" s="4" t="inlineStr">
        <is>
          <t>dcf_margin</t>
        </is>
      </c>
      <c r="B15" s="9" t="n">
        <v>0.601</v>
      </c>
      <c r="C15" s="2" t="inlineStr">
        <is>
          <t>Normalized (intrinsic − market) / market, clipped ±50%</t>
        </is>
      </c>
    </row>
    <row r="17">
      <c r="A17" s="3" t="inlineStr">
        <is>
          <t>Honest caveats (read before acting)</t>
        </is>
      </c>
      <c r="B17" s="3" t="n"/>
      <c r="C17" s="3" t="n"/>
    </row>
    <row r="18">
      <c r="A18" s="2" t="inlineStr">
        <is>
          <t>Lite DCF: 5y horizon, 70/30 equity/debt cap structure assumed, FCF growth from 3y trailing trend.</t>
        </is>
      </c>
    </row>
    <row r="19">
      <c r="A19" s="2" t="inlineStr">
        <is>
          <t>Peer set is FMP's algorithmic /stock-peers — may include weak comps for unusual business models.</t>
        </is>
      </c>
    </row>
    <row r="20">
      <c r="A20" s="2" t="inlineStr">
        <is>
          <t>Net cash treatment uses cashAndShortTermInvestments (operating cash); excludes LT marketable</t>
        </is>
      </c>
    </row>
    <row r="21">
      <c r="A21" s="2" t="inlineStr">
        <is>
          <t xml:space="preserve">  securities, which understates intrinsic for cash-rich companies like AAPL (~$80B in LT inv).</t>
        </is>
      </c>
    </row>
    <row r="22">
      <c r="A22" s="2" t="inlineStr">
        <is>
          <t>Margin of safety is normalized to 0..1; flip to the DCF tab for the raw % gap.</t>
        </is>
      </c>
    </row>
    <row r="23">
      <c r="A23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23:C23"/>
    <mergeCell ref="A1:C2"/>
    <mergeCell ref="A22:C22"/>
    <mergeCell ref="A17:C17"/>
    <mergeCell ref="A18:C18"/>
    <mergeCell ref="A3:C3"/>
    <mergeCell ref="A21:C21"/>
    <mergeCell ref="A12:C12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LMT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10" t="n">
        <v>0.04974999904632568</v>
      </c>
    </row>
    <row r="6">
      <c r="A6" s="4" t="inlineStr">
        <is>
          <t>Equity risk premium (ERP)</t>
        </is>
      </c>
      <c r="B6" s="10" t="n">
        <v>0.05</v>
      </c>
    </row>
    <row r="7">
      <c r="A7" s="4" t="inlineStr">
        <is>
          <t>Beta (levered)</t>
        </is>
      </c>
      <c r="B7" s="11" t="n">
        <v>0.7</v>
      </c>
    </row>
    <row r="8">
      <c r="A8" s="4" t="inlineStr">
        <is>
          <t>Credit spread over risk-free</t>
        </is>
      </c>
      <c r="B8" s="10" t="n">
        <v>0.02</v>
      </c>
    </row>
    <row r="9">
      <c r="A9" s="4" t="inlineStr">
        <is>
          <t>Tax rate</t>
        </is>
      </c>
      <c r="B9" s="10" t="n">
        <v>0.21</v>
      </c>
    </row>
    <row r="10">
      <c r="A10" s="4" t="inlineStr">
        <is>
          <t>Equity weight (cap structure)</t>
        </is>
      </c>
      <c r="B10" s="12" t="n">
        <v>0.7</v>
      </c>
    </row>
    <row r="11">
      <c r="A11" s="4" t="inlineStr">
        <is>
          <t>FCF growth (flat, faded avg)</t>
        </is>
      </c>
      <c r="B11" s="10" t="n">
        <v>0.0410319377925017</v>
      </c>
    </row>
    <row r="12">
      <c r="A12" s="4" t="inlineStr">
        <is>
          <t>Terminal growth rate</t>
        </is>
      </c>
      <c r="B12" s="10" t="n">
        <v>0.025</v>
      </c>
    </row>
    <row r="13">
      <c r="A13" s="4" t="inlineStr">
        <is>
          <t>Latest FCF ($, base year)</t>
        </is>
      </c>
      <c r="B13" s="13" t="n">
        <v>6908000000</v>
      </c>
    </row>
    <row r="15">
      <c r="A15" s="4" t="inlineStr">
        <is>
          <t>Cost of equity (CAPM)</t>
        </is>
      </c>
      <c r="B15" s="14">
        <f>B5+B7*B6</f>
        <v/>
      </c>
    </row>
    <row r="16">
      <c r="A16" s="4" t="inlineStr">
        <is>
          <t>After-tax cost of debt</t>
        </is>
      </c>
      <c r="B16" s="14">
        <f>(B5+B8)*(1-B9)</f>
        <v/>
      </c>
    </row>
    <row r="17">
      <c r="A17" s="15" t="inlineStr">
        <is>
          <t>WACC</t>
        </is>
      </c>
      <c r="B17" s="16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7">
        <f>$B$13*(1+$B$11)</f>
        <v/>
      </c>
      <c r="C22" s="17">
        <f>B22*(1+$B$11)</f>
        <v/>
      </c>
      <c r="D22" s="17">
        <f>C22*(1+$B$11)</f>
        <v/>
      </c>
      <c r="E22" s="17">
        <f>D22*(1+$B$11)</f>
        <v/>
      </c>
      <c r="F22" s="17">
        <f>E22*(1+$B$11)</f>
        <v/>
      </c>
    </row>
    <row r="23">
      <c r="A23" s="4" t="inlineStr">
        <is>
          <t>Discount factor</t>
        </is>
      </c>
      <c r="B23" s="18">
        <f>1/(1+$B$17)^1</f>
        <v/>
      </c>
      <c r="C23" s="18">
        <f>1/(1+$B$17)^2</f>
        <v/>
      </c>
      <c r="D23" s="18">
        <f>1/(1+$B$17)^3</f>
        <v/>
      </c>
      <c r="E23" s="18">
        <f>1/(1+$B$17)^4</f>
        <v/>
      </c>
      <c r="F23" s="18">
        <f>1/(1+$B$17)^5</f>
        <v/>
      </c>
    </row>
    <row r="24">
      <c r="A24" s="4" t="inlineStr">
        <is>
          <t>PV of FCF</t>
        </is>
      </c>
      <c r="B24" s="17">
        <f>B22*B23</f>
        <v/>
      </c>
      <c r="C24" s="17">
        <f>C22*C23</f>
        <v/>
      </c>
      <c r="D24" s="17">
        <f>D22*D23</f>
        <v/>
      </c>
      <c r="E24" s="17">
        <f>E22*E23</f>
        <v/>
      </c>
      <c r="F24" s="17">
        <f>F22*F23</f>
        <v/>
      </c>
    </row>
    <row r="26">
      <c r="A26" s="4" t="inlineStr">
        <is>
          <t>Sum of PV (explicit 5y)</t>
        </is>
      </c>
      <c r="B26" s="17">
        <f>SUM(B24:F24)</f>
        <v/>
      </c>
    </row>
    <row r="27">
      <c r="A27" s="4" t="inlineStr">
        <is>
          <t>Terminal value (Gordon)</t>
        </is>
      </c>
      <c r="B27" s="17">
        <f>F22*(1+B12)/(B17-B12)</f>
        <v/>
      </c>
    </row>
    <row r="28">
      <c r="A28" s="4" t="inlineStr">
        <is>
          <t>PV of terminal value</t>
        </is>
      </c>
      <c r="B28" s="17">
        <f>B27/(1+B17)^5</f>
        <v/>
      </c>
    </row>
    <row r="29">
      <c r="A29" s="19" t="inlineStr">
        <is>
          <t>Enterprise value</t>
        </is>
      </c>
      <c r="B29" s="20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3" t="n">
        <v>20537999360</v>
      </c>
    </row>
    <row r="33">
      <c r="A33" s="4" t="inlineStr">
        <is>
          <t>Plus: cash &amp; ST investments</t>
        </is>
      </c>
      <c r="B33" s="13" t="n">
        <v>3791000064</v>
      </c>
    </row>
    <row r="34">
      <c r="A34" s="4" t="inlineStr">
        <is>
          <t>Equity value</t>
        </is>
      </c>
      <c r="B34" s="17">
        <f>B29-B32+B33</f>
        <v/>
      </c>
    </row>
    <row r="35">
      <c r="A35" s="4" t="inlineStr">
        <is>
          <t>Diluted shares outstanding</t>
        </is>
      </c>
      <c r="B35" s="21" t="n">
        <v>230790748.8200843</v>
      </c>
    </row>
    <row r="36">
      <c r="A36" s="19" t="inlineStr">
        <is>
          <t>Intrinsic per share</t>
        </is>
      </c>
      <c r="B36" s="22">
        <f>B34/B35</f>
        <v/>
      </c>
    </row>
    <row r="37">
      <c r="A37" s="4" t="inlineStr">
        <is>
          <t>Current market price</t>
        </is>
      </c>
      <c r="B37" s="23" t="n">
        <v>524.1900000000001</v>
      </c>
    </row>
    <row r="38">
      <c r="A38" s="19" t="inlineStr">
        <is>
          <t>Margin of safety</t>
        </is>
      </c>
      <c r="B38" s="24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5" t="inlineStr">
        <is>
          <t>WACC ↓ / TermG →</t>
        </is>
      </c>
      <c r="B42" s="26">
        <f>$B$12+-0.01</f>
        <v/>
      </c>
      <c r="C42" s="26">
        <f>$B$12+-0.005</f>
        <v/>
      </c>
      <c r="D42" s="26">
        <f>$B$12+0.0</f>
        <v/>
      </c>
      <c r="E42" s="26">
        <f>$B$12+0.005</f>
        <v/>
      </c>
      <c r="F42" s="26">
        <f>$B$12+0.01</f>
        <v/>
      </c>
    </row>
    <row r="43">
      <c r="A43" s="26">
        <f>$B$17+-0.01</f>
        <v/>
      </c>
      <c r="B43" s="27">
        <f>($B$13*(1+$B$11)^1/(1+A43)^1+$B$13*(1+$B$11)^2/(1+A43)^2+$B$13*(1+$B$11)^3/(1+A43)^3+$B$13*(1+$B$11)^4/(1+A43)^4+$B$13*(1+$B$11)^5/(1+A43)^5+($B$13*(1+$B$11)^5*(1+B$42)/(A43-B$42))/(1+A43)^5-$B$32+$B$33)/$B$35</f>
        <v/>
      </c>
      <c r="C43" s="27">
        <f>($B$13*(1+$B$11)^1/(1+A43)^1+$B$13*(1+$B$11)^2/(1+A43)^2+$B$13*(1+$B$11)^3/(1+A43)^3+$B$13*(1+$B$11)^4/(1+A43)^4+$B$13*(1+$B$11)^5/(1+A43)^5+($B$13*(1+$B$11)^5*(1+C$42)/(A43-C$42))/(1+A43)^5-$B$32+$B$33)/$B$35</f>
        <v/>
      </c>
      <c r="D43" s="27">
        <f>($B$13*(1+$B$11)^1/(1+A43)^1+$B$13*(1+$B$11)^2/(1+A43)^2+$B$13*(1+$B$11)^3/(1+A43)^3+$B$13*(1+$B$11)^4/(1+A43)^4+$B$13*(1+$B$11)^5/(1+A43)^5+($B$13*(1+$B$11)^5*(1+D$42)/(A43-D$42))/(1+A43)^5-$B$32+$B$33)/$B$35</f>
        <v/>
      </c>
      <c r="E43" s="27">
        <f>($B$13*(1+$B$11)^1/(1+A43)^1+$B$13*(1+$B$11)^2/(1+A43)^2+$B$13*(1+$B$11)^3/(1+A43)^3+$B$13*(1+$B$11)^4/(1+A43)^4+$B$13*(1+$B$11)^5/(1+A43)^5+($B$13*(1+$B$11)^5*(1+E$42)/(A43-E$42))/(1+A43)^5-$B$32+$B$33)/$B$35</f>
        <v/>
      </c>
      <c r="F43" s="27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6">
        <f>$B$17+-0.005</f>
        <v/>
      </c>
      <c r="B44" s="27">
        <f>($B$13*(1+$B$11)^1/(1+A44)^1+$B$13*(1+$B$11)^2/(1+A44)^2+$B$13*(1+$B$11)^3/(1+A44)^3+$B$13*(1+$B$11)^4/(1+A44)^4+$B$13*(1+$B$11)^5/(1+A44)^5+($B$13*(1+$B$11)^5*(1+B$42)/(A44-B$42))/(1+A44)^5-$B$32+$B$33)/$B$35</f>
        <v/>
      </c>
      <c r="C44" s="27">
        <f>($B$13*(1+$B$11)^1/(1+A44)^1+$B$13*(1+$B$11)^2/(1+A44)^2+$B$13*(1+$B$11)^3/(1+A44)^3+$B$13*(1+$B$11)^4/(1+A44)^4+$B$13*(1+$B$11)^5/(1+A44)^5+($B$13*(1+$B$11)^5*(1+C$42)/(A44-C$42))/(1+A44)^5-$B$32+$B$33)/$B$35</f>
        <v/>
      </c>
      <c r="D44" s="27">
        <f>($B$13*(1+$B$11)^1/(1+A44)^1+$B$13*(1+$B$11)^2/(1+A44)^2+$B$13*(1+$B$11)^3/(1+A44)^3+$B$13*(1+$B$11)^4/(1+A44)^4+$B$13*(1+$B$11)^5/(1+A44)^5+($B$13*(1+$B$11)^5*(1+D$42)/(A44-D$42))/(1+A44)^5-$B$32+$B$33)/$B$35</f>
        <v/>
      </c>
      <c r="E44" s="27">
        <f>($B$13*(1+$B$11)^1/(1+A44)^1+$B$13*(1+$B$11)^2/(1+A44)^2+$B$13*(1+$B$11)^3/(1+A44)^3+$B$13*(1+$B$11)^4/(1+A44)^4+$B$13*(1+$B$11)^5/(1+A44)^5+($B$13*(1+$B$11)^5*(1+E$42)/(A44-E$42))/(1+A44)^5-$B$32+$B$33)/$B$35</f>
        <v/>
      </c>
      <c r="F44" s="27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6">
        <f>$B$17+0.0</f>
        <v/>
      </c>
      <c r="B45" s="27">
        <f>($B$13*(1+$B$11)^1/(1+A45)^1+$B$13*(1+$B$11)^2/(1+A45)^2+$B$13*(1+$B$11)^3/(1+A45)^3+$B$13*(1+$B$11)^4/(1+A45)^4+$B$13*(1+$B$11)^5/(1+A45)^5+($B$13*(1+$B$11)^5*(1+B$42)/(A45-B$42))/(1+A45)^5-$B$32+$B$33)/$B$35</f>
        <v/>
      </c>
      <c r="C45" s="27">
        <f>($B$13*(1+$B$11)^1/(1+A45)^1+$B$13*(1+$B$11)^2/(1+A45)^2+$B$13*(1+$B$11)^3/(1+A45)^3+$B$13*(1+$B$11)^4/(1+A45)^4+$B$13*(1+$B$11)^5/(1+A45)^5+($B$13*(1+$B$11)^5*(1+C$42)/(A45-C$42))/(1+A45)^5-$B$32+$B$33)/$B$35</f>
        <v/>
      </c>
      <c r="D45" s="28">
        <f>($B$13*(1+$B$11)^1/(1+A45)^1+$B$13*(1+$B$11)^2/(1+A45)^2+$B$13*(1+$B$11)^3/(1+A45)^3+$B$13*(1+$B$11)^4/(1+A45)^4+$B$13*(1+$B$11)^5/(1+A45)^5+($B$13*(1+$B$11)^5*(1+D$42)/(A45-D$42))/(1+A45)^5-$B$32+$B$33)/$B$35</f>
        <v/>
      </c>
      <c r="E45" s="27">
        <f>($B$13*(1+$B$11)^1/(1+A45)^1+$B$13*(1+$B$11)^2/(1+A45)^2+$B$13*(1+$B$11)^3/(1+A45)^3+$B$13*(1+$B$11)^4/(1+A45)^4+$B$13*(1+$B$11)^5/(1+A45)^5+($B$13*(1+$B$11)^5*(1+E$42)/(A45-E$42))/(1+A45)^5-$B$32+$B$33)/$B$35</f>
        <v/>
      </c>
      <c r="F45" s="27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6">
        <f>$B$17+0.005</f>
        <v/>
      </c>
      <c r="B46" s="27">
        <f>($B$13*(1+$B$11)^1/(1+A46)^1+$B$13*(1+$B$11)^2/(1+A46)^2+$B$13*(1+$B$11)^3/(1+A46)^3+$B$13*(1+$B$11)^4/(1+A46)^4+$B$13*(1+$B$11)^5/(1+A46)^5+($B$13*(1+$B$11)^5*(1+B$42)/(A46-B$42))/(1+A46)^5-$B$32+$B$33)/$B$35</f>
        <v/>
      </c>
      <c r="C46" s="27">
        <f>($B$13*(1+$B$11)^1/(1+A46)^1+$B$13*(1+$B$11)^2/(1+A46)^2+$B$13*(1+$B$11)^3/(1+A46)^3+$B$13*(1+$B$11)^4/(1+A46)^4+$B$13*(1+$B$11)^5/(1+A46)^5+($B$13*(1+$B$11)^5*(1+C$42)/(A46-C$42))/(1+A46)^5-$B$32+$B$33)/$B$35</f>
        <v/>
      </c>
      <c r="D46" s="27">
        <f>($B$13*(1+$B$11)^1/(1+A46)^1+$B$13*(1+$B$11)^2/(1+A46)^2+$B$13*(1+$B$11)^3/(1+A46)^3+$B$13*(1+$B$11)^4/(1+A46)^4+$B$13*(1+$B$11)^5/(1+A46)^5+($B$13*(1+$B$11)^5*(1+D$42)/(A46-D$42))/(1+A46)^5-$B$32+$B$33)/$B$35</f>
        <v/>
      </c>
      <c r="E46" s="27">
        <f>($B$13*(1+$B$11)^1/(1+A46)^1+$B$13*(1+$B$11)^2/(1+A46)^2+$B$13*(1+$B$11)^3/(1+A46)^3+$B$13*(1+$B$11)^4/(1+A46)^4+$B$13*(1+$B$11)^5/(1+A46)^5+($B$13*(1+$B$11)^5*(1+E$42)/(A46-E$42))/(1+A46)^5-$B$32+$B$33)/$B$35</f>
        <v/>
      </c>
      <c r="F46" s="27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6">
        <f>$B$17+0.01</f>
        <v/>
      </c>
      <c r="B47" s="27">
        <f>($B$13*(1+$B$11)^1/(1+A47)^1+$B$13*(1+$B$11)^2/(1+A47)^2+$B$13*(1+$B$11)^3/(1+A47)^3+$B$13*(1+$B$11)^4/(1+A47)^4+$B$13*(1+$B$11)^5/(1+A47)^5+($B$13*(1+$B$11)^5*(1+B$42)/(A47-B$42))/(1+A47)^5-$B$32+$B$33)/$B$35</f>
        <v/>
      </c>
      <c r="C47" s="27">
        <f>($B$13*(1+$B$11)^1/(1+A47)^1+$B$13*(1+$B$11)^2/(1+A47)^2+$B$13*(1+$B$11)^3/(1+A47)^3+$B$13*(1+$B$11)^4/(1+A47)^4+$B$13*(1+$B$11)^5/(1+A47)^5+($B$13*(1+$B$11)^5*(1+C$42)/(A47-C$42))/(1+A47)^5-$B$32+$B$33)/$B$35</f>
        <v/>
      </c>
      <c r="D47" s="27">
        <f>($B$13*(1+$B$11)^1/(1+A47)^1+$B$13*(1+$B$11)^2/(1+A47)^2+$B$13*(1+$B$11)^3/(1+A47)^3+$B$13*(1+$B$11)^4/(1+A47)^4+$B$13*(1+$B$11)^5/(1+A47)^5+($B$13*(1+$B$11)^5*(1+D$42)/(A47-D$42))/(1+A47)^5-$B$32+$B$33)/$B$35</f>
        <v/>
      </c>
      <c r="E47" s="27">
        <f>($B$13*(1+$B$11)^1/(1+A47)^1+$B$13*(1+$B$11)^2/(1+A47)^2+$B$13*(1+$B$11)^3/(1+A47)^3+$B$13*(1+$B$11)^4/(1+A47)^4+$B$13*(1+$B$11)^5/(1+A47)^5+($B$13*(1+$B$11)^5*(1+E$42)/(A47-E$42))/(1+A47)^5-$B$32+$B$33)/$B$35</f>
        <v/>
      </c>
      <c r="F47" s="27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LMT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9" t="inlineStr">
        <is>
          <t>Ticker</t>
        </is>
      </c>
      <c r="B4" s="29" t="inlineStr">
        <is>
          <t>Name</t>
        </is>
      </c>
      <c r="C4" s="29" t="inlineStr">
        <is>
          <t>Market Cap</t>
        </is>
      </c>
      <c r="D4" s="29" t="inlineStr">
        <is>
          <t>P/E (TTM)</t>
        </is>
      </c>
      <c r="E4" s="29" t="inlineStr">
        <is>
          <t>EV/EBITDA</t>
        </is>
      </c>
      <c r="F4" s="29" t="inlineStr">
        <is>
          <t>EV/Revenue</t>
        </is>
      </c>
    </row>
    <row r="5">
      <c r="A5" s="30" t="inlineStr">
        <is>
          <t>LMT</t>
        </is>
      </c>
      <c r="B5" s="30" t="inlineStr">
        <is>
          <t>Lockheed Martin Corporation</t>
        </is>
      </c>
      <c r="C5" s="31" t="n">
        <v>120978202624</v>
      </c>
      <c r="D5" s="32" t="n">
        <v>19.34</v>
      </c>
      <c r="E5" s="32" t="n">
        <v>14.23</v>
      </c>
      <c r="F5" s="32" t="n">
        <v>1.79</v>
      </c>
    </row>
    <row r="6">
      <c r="A6" t="inlineStr">
        <is>
          <t>ADP</t>
        </is>
      </c>
      <c r="B6" t="inlineStr">
        <is>
          <t>Automatic Data Processing, Inc.</t>
        </is>
      </c>
      <c r="C6" s="33" t="n">
        <v>106569711616</v>
      </c>
      <c r="D6" s="34" t="n">
        <v>24.49863</v>
      </c>
      <c r="E6" s="34" t="n">
        <v>16.823</v>
      </c>
      <c r="F6" s="34" t="n">
        <v>4.914</v>
      </c>
    </row>
    <row r="7">
      <c r="A7" t="inlineStr">
        <is>
          <t>BA</t>
        </is>
      </c>
      <c r="B7" t="inlineStr">
        <is>
          <t>Boeing Company (The)</t>
        </is>
      </c>
      <c r="C7" s="33" t="n">
        <v>166333366272</v>
      </c>
      <c r="D7" s="34" t="n">
        <v>75.70144000000001</v>
      </c>
      <c r="E7" s="34" t="n">
        <v>-67.387</v>
      </c>
      <c r="F7" s="34" t="n">
        <v>2.079</v>
      </c>
    </row>
    <row r="8">
      <c r="A8" t="inlineStr">
        <is>
          <t>DE</t>
        </is>
      </c>
      <c r="B8" t="inlineStr">
        <is>
          <t>Deere &amp; Company</t>
        </is>
      </c>
      <c r="C8" s="33" t="n">
        <v>182196666368</v>
      </c>
      <c r="D8" s="34" t="n">
        <v>37.603786</v>
      </c>
      <c r="E8" s="34" t="n">
        <v>25.796</v>
      </c>
      <c r="F8" s="34" t="n">
        <v>4.629</v>
      </c>
    </row>
    <row r="9">
      <c r="A9" t="inlineStr">
        <is>
          <t>GD</t>
        </is>
      </c>
      <c r="B9" t="inlineStr">
        <is>
          <t>General Dynamics Corporation</t>
        </is>
      </c>
      <c r="C9" s="33" t="n">
        <v>96291299328</v>
      </c>
      <c r="D9" s="34" t="n">
        <v>21.687994</v>
      </c>
      <c r="E9" s="34" t="n">
        <v>15.271</v>
      </c>
      <c r="F9" s="34" t="n">
        <v>1.846</v>
      </c>
    </row>
    <row r="10">
      <c r="A10" t="inlineStr">
        <is>
          <t>HON</t>
        </is>
      </c>
      <c r="B10" t="inlineStr">
        <is>
          <t>Honeywell International Inc.</t>
        </is>
      </c>
      <c r="C10" s="33" t="n">
        <v>64135979008</v>
      </c>
      <c r="D10" s="34" t="n">
        <v>7.783077</v>
      </c>
      <c r="E10" s="34" t="n">
        <v>10.599</v>
      </c>
      <c r="F10" s="34" t="n">
        <v>2.371</v>
      </c>
    </row>
    <row r="11">
      <c r="A11" t="inlineStr">
        <is>
          <t>LHX</t>
        </is>
      </c>
      <c r="B11" t="inlineStr">
        <is>
          <t>L3Harris Technologies, Inc.</t>
        </is>
      </c>
      <c r="C11" s="33" t="n">
        <v>45723136000</v>
      </c>
      <c r="D11" s="34" t="n">
        <v>24.802021</v>
      </c>
      <c r="E11" s="34" t="n">
        <v>28.591</v>
      </c>
      <c r="F11" s="34" t="n">
        <v>4.773</v>
      </c>
    </row>
    <row r="12">
      <c r="A12" t="inlineStr">
        <is>
          <t>NOC</t>
        </is>
      </c>
      <c r="B12" t="inlineStr">
        <is>
          <t>Northrop Grumman Corporation</t>
        </is>
      </c>
      <c r="C12" s="33" t="n">
        <v>73726443520</v>
      </c>
      <c r="D12" s="34" t="n">
        <v>16.501429</v>
      </c>
      <c r="E12" s="34" t="n">
        <v>12.195</v>
      </c>
      <c r="F12" s="34" t="n">
        <v>2.063</v>
      </c>
    </row>
    <row r="13">
      <c r="A13" t="inlineStr">
        <is>
          <t>PH</t>
        </is>
      </c>
      <c r="B13" t="inlineStr">
        <is>
          <t>Parker-Hannifin Corporation</t>
        </is>
      </c>
      <c r="C13" s="33" t="n">
        <v>119774085120</v>
      </c>
      <c r="D13" s="34" t="n">
        <v>33.32971</v>
      </c>
      <c r="E13" s="34" t="n">
        <v>22.602</v>
      </c>
      <c r="F13" s="34" t="n">
        <v>5.954</v>
      </c>
    </row>
    <row r="15">
      <c r="A15" s="4" t="inlineStr">
        <is>
          <t>Peer median</t>
        </is>
      </c>
      <c r="D15" s="35">
        <f>MEDIAN(D6:D13)</f>
        <v/>
      </c>
      <c r="E15" s="35">
        <f>MEDIAN(E6:E13)</f>
        <v/>
      </c>
      <c r="F15" s="35">
        <f>MEDIAN(F6:F13)</f>
        <v/>
      </c>
    </row>
    <row r="16">
      <c r="A16" s="4" t="inlineStr">
        <is>
          <t>Peer mean</t>
        </is>
      </c>
      <c r="D16" s="35">
        <f>AVERAGE(D6:D13)</f>
        <v/>
      </c>
      <c r="E16" s="35">
        <f>AVERAGE(E6:E13)</f>
        <v/>
      </c>
      <c r="F16" s="35">
        <f>AVERAGE(F6:F13)</f>
        <v/>
      </c>
    </row>
    <row r="17">
      <c r="A17" s="4" t="inlineStr">
        <is>
          <t>Target percentile vs peers</t>
        </is>
      </c>
      <c r="D17" s="36" t="n">
        <v>0.167</v>
      </c>
      <c r="E17" s="36" t="n">
        <v>0.2</v>
      </c>
      <c r="F17" s="36" t="n">
        <v>0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2026-09-13T17:36:15Z</dcterms:created>
  <dcterms:modified xsi:type="dcterms:W3CDTF">2026-09-13T17:36:15Z</dcterms:modified>
</cp:coreProperties>
</file>
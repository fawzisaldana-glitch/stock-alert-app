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TSM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0.519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434.11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</v>
      </c>
      <c r="C13" s="2" t="inlineStr"/>
    </row>
    <row r="14">
      <c r="A14" s="4" t="inlineStr">
        <is>
          <t>comps_percentile</t>
        </is>
      </c>
      <c r="B14" s="8" t="n">
        <v>0.778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TSM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0.04568999767303467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1.246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992378400000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1094369804288</v>
      </c>
    </row>
    <row r="33">
      <c r="A33" s="4" t="inlineStr">
        <is>
          <t>Plus: cash &amp; ST investments</t>
        </is>
      </c>
      <c r="B33" s="12" t="n">
        <v>3383596154880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5186473538.743636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434.11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TSM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TSM</t>
        </is>
      </c>
      <c r="B5" s="29" t="inlineStr">
        <is>
          <t>Taiwan Semiconductor Manufacturing Company Limited</t>
        </is>
      </c>
      <c r="C5" s="30" t="n">
        <v>2251500027904</v>
      </c>
      <c r="D5" s="31" t="n">
        <v>37.75</v>
      </c>
      <c r="E5" s="31" t="n">
        <v>5.52</v>
      </c>
      <c r="F5" s="31" t="n">
        <v>3.84</v>
      </c>
    </row>
    <row r="6">
      <c r="A6" t="inlineStr">
        <is>
          <t>AMAT</t>
        </is>
      </c>
      <c r="B6" t="inlineStr">
        <is>
          <t>Applied Materials, Inc.</t>
        </is>
      </c>
      <c r="C6" s="32" t="n">
        <v>478360567808</v>
      </c>
      <c r="D6" s="33" t="n">
        <v>56.839622</v>
      </c>
      <c r="E6" s="33" t="n">
        <v>51.47</v>
      </c>
      <c r="F6" s="33" t="n">
        <v>16.448</v>
      </c>
    </row>
    <row r="7">
      <c r="A7" t="inlineStr">
        <is>
          <t>AMKR</t>
        </is>
      </c>
      <c r="B7" t="inlineStr">
        <is>
          <t>Amkor Technology, Inc.</t>
        </is>
      </c>
      <c r="C7" s="32" t="n">
        <v>17467576320</v>
      </c>
      <c r="D7" s="33" t="n">
        <v>40.5</v>
      </c>
      <c r="E7" s="33" t="n">
        <v>14.452</v>
      </c>
      <c r="F7" s="33" t="n">
        <v>2.443</v>
      </c>
    </row>
    <row r="8">
      <c r="A8" t="inlineStr">
        <is>
          <t>ASML</t>
        </is>
      </c>
      <c r="B8" t="inlineStr">
        <is>
          <t>ASML Holding N.V. - New York Re</t>
        </is>
      </c>
      <c r="C8" s="32" t="n">
        <v>692718862336</v>
      </c>
      <c r="D8" s="33" t="n">
        <v>60.967434</v>
      </c>
      <c r="E8" s="33" t="n">
        <v>3028.632</v>
      </c>
      <c r="F8" s="33" t="n">
        <v>1141.997</v>
      </c>
    </row>
    <row r="9">
      <c r="A9" t="inlineStr">
        <is>
          <t>ASX</t>
        </is>
      </c>
      <c r="B9" t="inlineStr">
        <is>
          <t>ASE Technology Holding Co., Ltd</t>
        </is>
      </c>
      <c r="C9" s="32" t="n">
        <v>93593731072</v>
      </c>
      <c r="D9" s="33" t="n">
        <v>66.65625</v>
      </c>
      <c r="E9" s="33" t="n">
        <v>2.132</v>
      </c>
      <c r="F9" s="33" t="n">
        <v>0.399</v>
      </c>
    </row>
    <row r="10">
      <c r="A10" t="inlineStr">
        <is>
          <t>AVGO</t>
        </is>
      </c>
      <c r="B10" t="inlineStr">
        <is>
          <t>Broadcom Inc.</t>
        </is>
      </c>
      <c r="C10" s="32" t="n">
        <v>1902889402368</v>
      </c>
      <c r="D10" s="33" t="n">
        <v>66.66167</v>
      </c>
      <c r="E10" s="33" t="n">
        <v>46.292</v>
      </c>
      <c r="F10" s="33" t="n">
        <v>25.816</v>
      </c>
    </row>
    <row r="11">
      <c r="A11" t="inlineStr">
        <is>
          <t>DIOD</t>
        </is>
      </c>
      <c r="B11" t="inlineStr">
        <is>
          <t>Diodes Incorporated</t>
        </is>
      </c>
      <c r="C11" s="32" t="n">
        <v>4428153344</v>
      </c>
      <c r="D11" s="33" t="n">
        <v>52.097294</v>
      </c>
      <c r="E11" s="33" t="n">
        <v>21.149</v>
      </c>
      <c r="F11" s="33" t="n">
        <v>2.694</v>
      </c>
    </row>
    <row r="12">
      <c r="A12" t="inlineStr">
        <is>
          <t>META</t>
        </is>
      </c>
      <c r="B12" t="inlineStr">
        <is>
          <t>Meta Platforms, Inc.</t>
        </is>
      </c>
      <c r="C12" s="32" t="n">
        <v>1698738339840</v>
      </c>
      <c r="D12" s="33" t="n">
        <v>24.33491</v>
      </c>
      <c r="E12" s="33" t="n">
        <v>15.592</v>
      </c>
      <c r="F12" s="33" t="n">
        <v>7.928</v>
      </c>
    </row>
    <row r="14">
      <c r="A14" s="4" t="inlineStr">
        <is>
          <t>Peer median</t>
        </is>
      </c>
      <c r="D14" s="34">
        <f>MEDIAN(D6:D12)</f>
        <v/>
      </c>
      <c r="E14" s="34">
        <f>MEDIAN(E6:E12)</f>
        <v/>
      </c>
      <c r="F14" s="34">
        <f>MEDIAN(F6:F12)</f>
        <v/>
      </c>
    </row>
    <row r="15">
      <c r="A15" s="4" t="inlineStr">
        <is>
          <t>Peer mean</t>
        </is>
      </c>
      <c r="D15" s="34">
        <f>AVERAGE(D6:D12)</f>
        <v/>
      </c>
      <c r="E15" s="34">
        <f>AVERAGE(E6:E12)</f>
        <v/>
      </c>
      <c r="F15" s="34">
        <f>AVERAGE(F6:F12)</f>
        <v/>
      </c>
    </row>
    <row r="16">
      <c r="A16" s="4" t="inlineStr">
        <is>
          <t>Target percentile vs peers</t>
        </is>
      </c>
      <c r="D16" s="35" t="n">
        <v>0</v>
      </c>
      <c r="E16" s="35" t="n">
        <v>0.167</v>
      </c>
      <c r="F16" s="35" t="n">
        <v>0.5</v>
      </c>
    </row>
    <row r="17">
      <c r="A17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2026-07-11T17:36:39Z</dcterms:created>
  <dcterms:modified xsi:type="dcterms:W3CDTF">2026-07-11T17:36:39Z</dcterms:modified>
</cp:coreProperties>
</file>
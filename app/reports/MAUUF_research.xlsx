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MAUUF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2026-10-07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0.1441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5">
      <c r="A15" s="3" t="inlineStr">
        <is>
          <t>Honest caveats (read before acting)</t>
        </is>
      </c>
      <c r="B15" s="3" t="n"/>
      <c r="C15" s="3" t="n"/>
    </row>
    <row r="16">
      <c r="A16" s="2" t="inlineStr">
        <is>
          <t>Lite DCF: 5y horizon, 70/30 equity/debt cap structure assumed, FCF growth from 3y trailing trend.</t>
        </is>
      </c>
    </row>
    <row r="17">
      <c r="A17" s="2" t="inlineStr">
        <is>
          <t>Peer set is FMP's algorithmic /stock-peers — may include weak comps for unusual business models.</t>
        </is>
      </c>
    </row>
    <row r="18">
      <c r="A18" s="2" t="inlineStr">
        <is>
          <t>Net cash treatment uses cashAndShortTermInvestments (operating cash); excludes LT marketable</t>
        </is>
      </c>
    </row>
    <row r="19">
      <c r="A19" s="2" t="inlineStr">
        <is>
          <t xml:space="preserve">  securities, which understates intrinsic for cash-rich companies like AAPL (~$80B in LT inv).</t>
        </is>
      </c>
    </row>
    <row r="20">
      <c r="A20" s="2" t="inlineStr">
        <is>
          <t>Margin of safety is normalized to 0..1; flip to the DCF tab for the raw % gap.</t>
        </is>
      </c>
    </row>
    <row r="21">
      <c r="A21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7:C17"/>
    <mergeCell ref="A18:C18"/>
    <mergeCell ref="A3:C3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MAUUF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0.05275000095367432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1.639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-1372864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0</v>
      </c>
    </row>
    <row r="33">
      <c r="A33" s="4" t="inlineStr">
        <is>
          <t>Plus: cash &amp; ST investments</t>
        </is>
      </c>
      <c r="B33" s="12" t="n">
        <v>9163631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110080513.5322693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0.1441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MAUUF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MAUUF</t>
        </is>
      </c>
      <c r="B5" s="29" t="inlineStr">
        <is>
          <t>Manhattan Uranium Discovery Corp.</t>
        </is>
      </c>
      <c r="C5" s="30" t="n">
        <v>15862602</v>
      </c>
      <c r="D5" s="31" t="n"/>
      <c r="E5" s="31" t="n">
        <v>-1.8</v>
      </c>
      <c r="F5" s="31" t="n"/>
    </row>
    <row r="7">
      <c r="A7" s="4" t="inlineStr">
        <is>
          <t>Peer median</t>
        </is>
      </c>
      <c r="D7" s="32">
        <f>MEDIAN(D6:D5)</f>
        <v/>
      </c>
      <c r="E7" s="32">
        <f>MEDIAN(E6:E5)</f>
        <v/>
      </c>
      <c r="F7" s="32">
        <f>MEDIAN(F6:F5)</f>
        <v/>
      </c>
    </row>
    <row r="8">
      <c r="A8" s="4" t="inlineStr">
        <is>
          <t>Peer mean</t>
        </is>
      </c>
      <c r="D8" s="32">
        <f>AVERAGE(D6:D5)</f>
        <v/>
      </c>
      <c r="E8" s="32">
        <f>AVERAGE(E6:E5)</f>
        <v/>
      </c>
      <c r="F8" s="32">
        <f>AVERAGE(F6:F5)</f>
        <v/>
      </c>
    </row>
    <row r="9">
      <c r="A9" s="4" t="inlineStr">
        <is>
          <t>Target percentile vs peers</t>
        </is>
      </c>
      <c r="D9" s="33" t="n"/>
      <c r="E9" s="33" t="n"/>
      <c r="F9" s="33" t="n"/>
    </row>
    <row r="10">
      <c r="A10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2026-10-07T17:36:12Z</dcterms:created>
  <dcterms:modified xsi:type="dcterms:W3CDTF">2026-10-07T17:36:12Z</dcterms:modified>
</cp:coreProperties>
</file>
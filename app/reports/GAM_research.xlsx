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67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GAM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2026-09-29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0.667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medium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63.83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8" t="n">
        <v>1</v>
      </c>
      <c r="C13" s="2" t="inlineStr"/>
    </row>
    <row r="14">
      <c r="A14" s="4" t="inlineStr">
        <is>
          <t>comps_percentile</t>
        </is>
      </c>
      <c r="B14" s="8" t="n">
        <v>0.5</v>
      </c>
      <c r="C14" s="2" t="inlineStr">
        <is>
          <t>Peer-relative ranking of P/E, EV/EBITDA, EV/Rev</t>
        </is>
      </c>
    </row>
    <row r="16">
      <c r="A16" s="3" t="inlineStr">
        <is>
          <t>Honest caveats (read before acting)</t>
        </is>
      </c>
      <c r="B16" s="3" t="n"/>
      <c r="C16" s="3" t="n"/>
    </row>
    <row r="17">
      <c r="A17" s="2" t="inlineStr">
        <is>
          <t>Lite DCF: 5y horizon, 70/30 equity/debt cap structure assumed, FCF growth from 3y trailing trend.</t>
        </is>
      </c>
    </row>
    <row r="18">
      <c r="A18" s="2" t="inlineStr">
        <is>
          <t>Peer set is FMP's algorithmic /stock-peers — may include weak comps for unusual business models.</t>
        </is>
      </c>
    </row>
    <row r="19">
      <c r="A19" s="2" t="inlineStr">
        <is>
          <t>Net cash treatment uses cashAndShortTermInvestments (operating cash); excludes LT marketable</t>
        </is>
      </c>
    </row>
    <row r="20">
      <c r="A20" s="2" t="inlineStr">
        <is>
          <t xml:space="preserve">  securities, which understates intrinsic for cash-rich companies like AAPL (~$80B in LT inv).</t>
        </is>
      </c>
    </row>
    <row r="21">
      <c r="A21" s="2" t="inlineStr">
        <is>
          <t>Margin of safety is normalized to 0..1; flip to the DCF tab for the raw % gap.</t>
        </is>
      </c>
    </row>
    <row r="22">
      <c r="A22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22:C22"/>
    <mergeCell ref="A17:C17"/>
    <mergeCell ref="A18:C18"/>
    <mergeCell ref="A3:C3"/>
    <mergeCell ref="A21:C21"/>
    <mergeCell ref="A12:C12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GAM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0.05293000221252441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0.8169999999999999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0.0125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0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1493597</v>
      </c>
    </row>
    <row r="33">
      <c r="A33" s="4" t="inlineStr">
        <is>
          <t>Plus: cash &amp; ST investments</t>
        </is>
      </c>
      <c r="B33" s="12" t="n">
        <v>1773941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23832112.04762651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63.83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GAM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GAM</t>
        </is>
      </c>
      <c r="B5" s="29" t="inlineStr">
        <is>
          <t>General American Investors Company, Inc.</t>
        </is>
      </c>
      <c r="C5" s="30" t="n">
        <v>1521203712</v>
      </c>
      <c r="D5" s="31" t="n">
        <v>4</v>
      </c>
      <c r="E5" s="31" t="n"/>
      <c r="F5" s="31" t="n">
        <v>69.98</v>
      </c>
    </row>
    <row r="6">
      <c r="A6" t="inlineStr">
        <is>
          <t>AAMI</t>
        </is>
      </c>
      <c r="B6" t="inlineStr">
        <is>
          <t>Acadian Asset Management Inc.</t>
        </is>
      </c>
      <c r="C6" s="32" t="n">
        <v>3238119168</v>
      </c>
      <c r="D6" s="33" t="n">
        <v>32.240284</v>
      </c>
      <c r="E6" s="33" t="n">
        <v>20.523</v>
      </c>
      <c r="F6" s="33" t="n">
        <v>5.329</v>
      </c>
    </row>
    <row r="7">
      <c r="A7" t="inlineStr">
        <is>
          <t>CET</t>
        </is>
      </c>
      <c r="B7" t="inlineStr">
        <is>
          <t>Central Securities Corporation</t>
        </is>
      </c>
      <c r="C7" s="32" t="n"/>
      <c r="D7" s="33" t="n">
        <v>7.402815</v>
      </c>
      <c r="E7" s="33" t="n">
        <v>45.617</v>
      </c>
      <c r="F7" s="33" t="n">
        <v>37.872</v>
      </c>
    </row>
    <row r="8">
      <c r="A8" t="inlineStr">
        <is>
          <t>FRME</t>
        </is>
      </c>
      <c r="B8" t="inlineStr">
        <is>
          <t>First Merchants Corporation</t>
        </is>
      </c>
      <c r="C8" s="32" t="n">
        <v>2507660800</v>
      </c>
      <c r="D8" s="33" t="n">
        <v>12.839229</v>
      </c>
      <c r="E8" s="33" t="n"/>
      <c r="F8" s="33" t="n">
        <v>5.524</v>
      </c>
    </row>
    <row r="9">
      <c r="A9" t="inlineStr">
        <is>
          <t>FSCO</t>
        </is>
      </c>
      <c r="B9" t="inlineStr">
        <is>
          <t>FS Credit Opportunities Corp.</t>
        </is>
      </c>
      <c r="C9" s="32" t="n">
        <v>1040677312</v>
      </c>
      <c r="D9" s="33" t="n">
        <v>8.434426</v>
      </c>
      <c r="E9" s="33" t="n"/>
      <c r="F9" s="33" t="n"/>
    </row>
    <row r="10">
      <c r="A10" t="inlineStr">
        <is>
          <t>GSBD</t>
        </is>
      </c>
      <c r="B10" t="inlineStr">
        <is>
          <t>Goldman Sachs BDC, Inc.</t>
        </is>
      </c>
      <c r="C10" s="32" t="n">
        <v>1065466176</v>
      </c>
      <c r="D10" s="33" t="n">
        <v>18.201923</v>
      </c>
      <c r="E10" s="33" t="n"/>
      <c r="F10" s="33" t="n">
        <v>8.534000000000001</v>
      </c>
    </row>
    <row r="11">
      <c r="A11" t="inlineStr">
        <is>
          <t>MBIN</t>
        </is>
      </c>
      <c r="B11" t="inlineStr">
        <is>
          <t>Merchants Bancorp</t>
        </is>
      </c>
      <c r="C11" s="32" t="n">
        <v>2291850496</v>
      </c>
      <c r="D11" s="33" t="n">
        <v>10.018072</v>
      </c>
      <c r="E11" s="33" t="n"/>
      <c r="F11" s="33" t="n">
        <v>10.163</v>
      </c>
    </row>
    <row r="12">
      <c r="A12" t="inlineStr">
        <is>
          <t>MSDL</t>
        </is>
      </c>
      <c r="B12" t="inlineStr">
        <is>
          <t>Morgan Stanley Direct Lending Fund</t>
        </is>
      </c>
      <c r="C12" s="32" t="n">
        <v>1194292736</v>
      </c>
      <c r="D12" s="33" t="n">
        <v>20.57971</v>
      </c>
      <c r="E12" s="33" t="n"/>
      <c r="F12" s="33" t="n">
        <v>8.326000000000001</v>
      </c>
    </row>
    <row r="13">
      <c r="A13" t="inlineStr">
        <is>
          <t>OXLC</t>
        </is>
      </c>
      <c r="B13" t="inlineStr">
        <is>
          <t>Oxford Lane Capital Corp.</t>
        </is>
      </c>
      <c r="C13" s="32" t="n">
        <v>877860864</v>
      </c>
      <c r="D13" s="33" t="n"/>
      <c r="E13" s="33" t="n"/>
      <c r="F13" s="33" t="n">
        <v>3.331</v>
      </c>
    </row>
    <row r="15">
      <c r="A15" s="4" t="inlineStr">
        <is>
          <t>Peer median</t>
        </is>
      </c>
      <c r="D15" s="34">
        <f>MEDIAN(D6:D13)</f>
        <v/>
      </c>
      <c r="E15" s="34">
        <f>MEDIAN(E6:E13)</f>
        <v/>
      </c>
      <c r="F15" s="34">
        <f>MEDIAN(F6:F13)</f>
        <v/>
      </c>
    </row>
    <row r="16">
      <c r="A16" s="4" t="inlineStr">
        <is>
          <t>Peer mean</t>
        </is>
      </c>
      <c r="D16" s="34">
        <f>AVERAGE(D6:D13)</f>
        <v/>
      </c>
      <c r="E16" s="34">
        <f>AVERAGE(E6:E13)</f>
        <v/>
      </c>
      <c r="F16" s="34">
        <f>AVERAGE(F6:F13)</f>
        <v/>
      </c>
    </row>
    <row r="17">
      <c r="A17" s="4" t="inlineStr">
        <is>
          <t>Target percentile vs peers</t>
        </is>
      </c>
      <c r="D17" s="35" t="n">
        <v>0</v>
      </c>
      <c r="E17" s="35" t="n"/>
      <c r="F17" s="35" t="n">
        <v>1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2026-09-29T17:35:50Z</dcterms:created>
  <dcterms:modified xsi:type="dcterms:W3CDTF">2026-09-29T17:35:50Z</dcterms:modified>
</cp:coreProperties>
</file>
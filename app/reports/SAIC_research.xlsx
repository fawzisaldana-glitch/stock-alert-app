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SAIC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2026-07-22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0.822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268.14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116.03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1.311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0.777</v>
      </c>
      <c r="C13" s="2" t="inlineStr"/>
    </row>
    <row r="14">
      <c r="A14" s="4" t="inlineStr">
        <is>
          <t>comps_percentile</t>
        </is>
      </c>
      <c r="B14" s="9" t="n">
        <v>0.667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SAIC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0.04654000282287598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0.0506380650537684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577000000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2675000064</v>
      </c>
    </row>
    <row r="33">
      <c r="A33" s="4" t="inlineStr">
        <is>
          <t>Plus: cash &amp; ST investments</t>
        </is>
      </c>
      <c r="B33" s="13" t="n">
        <v>109000000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42276819.16745669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116.03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SAIC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SAIC</t>
        </is>
      </c>
      <c r="B5" s="30" t="inlineStr">
        <is>
          <t>Science Applications International Corporation</t>
        </is>
      </c>
      <c r="C5" s="31" t="n">
        <v>4905379328</v>
      </c>
      <c r="D5" s="32" t="n">
        <v>13.05</v>
      </c>
      <c r="E5" s="32" t="n">
        <v>9.9</v>
      </c>
      <c r="F5" s="32" t="n">
        <v>1</v>
      </c>
    </row>
    <row r="6">
      <c r="A6" t="inlineStr">
        <is>
          <t>AVT</t>
        </is>
      </c>
      <c r="B6" t="inlineStr">
        <is>
          <t>Avnet, Inc.</t>
        </is>
      </c>
      <c r="C6" s="33" t="n">
        <v>7414156288</v>
      </c>
      <c r="D6" s="34" t="n">
        <v>34.899616</v>
      </c>
      <c r="E6" s="34" t="n">
        <v>13.508</v>
      </c>
      <c r="F6" s="34" t="n">
        <v>0.414</v>
      </c>
    </row>
    <row r="7">
      <c r="A7" t="inlineStr">
        <is>
          <t>CNXC</t>
        </is>
      </c>
      <c r="B7" t="inlineStr">
        <is>
          <t>Concentrix Corporation</t>
        </is>
      </c>
      <c r="C7" s="33" t="n">
        <v>1451626624</v>
      </c>
      <c r="D7" s="34" t="n"/>
      <c r="E7" s="34" t="n">
        <v>5.257</v>
      </c>
      <c r="F7" s="34" t="n">
        <v>0.67</v>
      </c>
    </row>
    <row r="8">
      <c r="A8" t="inlineStr">
        <is>
          <t>DLO</t>
        </is>
      </c>
      <c r="B8" t="inlineStr">
        <is>
          <t>DLocal Limited</t>
        </is>
      </c>
      <c r="C8" s="33" t="n">
        <v>4209519872</v>
      </c>
      <c r="D8" s="34" t="n">
        <v>22.351564</v>
      </c>
      <c r="E8" s="34" t="n">
        <v>15.191</v>
      </c>
      <c r="F8" s="34" t="n">
        <v>2.912</v>
      </c>
    </row>
    <row r="9">
      <c r="A9" t="inlineStr">
        <is>
          <t>INGM</t>
        </is>
      </c>
      <c r="B9" t="inlineStr">
        <is>
          <t>Ingram Micro Holding Corporatio</t>
        </is>
      </c>
      <c r="C9" s="33" t="n">
        <v>6858031616</v>
      </c>
      <c r="D9" s="34" t="n">
        <v>19.578947</v>
      </c>
      <c r="E9" s="34" t="n">
        <v>8.012</v>
      </c>
      <c r="F9" s="34" t="n">
        <v>0.179</v>
      </c>
    </row>
    <row r="10">
      <c r="A10" t="inlineStr">
        <is>
          <t>NIQ</t>
        </is>
      </c>
      <c r="B10" t="inlineStr">
        <is>
          <t>NIQ Global Intelligence plc</t>
        </is>
      </c>
      <c r="C10" s="33" t="n">
        <v>3140250880</v>
      </c>
      <c r="D10" s="34" t="n"/>
      <c r="E10" s="34" t="n"/>
      <c r="F10" s="34" t="n"/>
    </row>
    <row r="11">
      <c r="A11" t="inlineStr">
        <is>
          <t>PAY</t>
        </is>
      </c>
      <c r="B11" t="inlineStr">
        <is>
          <t>Paymentus Holdings, Inc.</t>
        </is>
      </c>
      <c r="C11" s="33" t="n">
        <v>3649148672</v>
      </c>
      <c r="D11" s="34" t="n">
        <v>50.894737</v>
      </c>
      <c r="E11" s="34" t="n">
        <v>36.563</v>
      </c>
      <c r="F11" s="34" t="n">
        <v>2.652</v>
      </c>
    </row>
    <row r="12">
      <c r="A12" t="inlineStr">
        <is>
          <t>PSFE</t>
        </is>
      </c>
      <c r="B12" t="inlineStr">
        <is>
          <t>Paysafe Limited</t>
        </is>
      </c>
      <c r="C12" s="33" t="n">
        <v>406434496</v>
      </c>
      <c r="D12" s="34" t="n"/>
      <c r="E12" s="34" t="n">
        <v>6.821</v>
      </c>
      <c r="F12" s="34" t="n">
        <v>1.545</v>
      </c>
    </row>
    <row r="14">
      <c r="A14" s="4" t="inlineStr">
        <is>
          <t>Peer median</t>
        </is>
      </c>
      <c r="D14" s="35">
        <f>MEDIAN(D6:D12)</f>
        <v/>
      </c>
      <c r="E14" s="35">
        <f>MEDIAN(E6:E12)</f>
        <v/>
      </c>
      <c r="F14" s="35">
        <f>MEDIAN(F6:F12)</f>
        <v/>
      </c>
    </row>
    <row r="15">
      <c r="A15" s="4" t="inlineStr">
        <is>
          <t>Peer mean</t>
        </is>
      </c>
      <c r="D15" s="35">
        <f>AVERAGE(D6:D12)</f>
        <v/>
      </c>
      <c r="E15" s="35">
        <f>AVERAGE(E6:E12)</f>
        <v/>
      </c>
      <c r="F15" s="35">
        <f>AVERAGE(F6:F12)</f>
        <v/>
      </c>
    </row>
    <row r="16">
      <c r="A16" s="4" t="inlineStr">
        <is>
          <t>Target percentile vs peers</t>
        </is>
      </c>
      <c r="D16" s="36" t="n">
        <v>0</v>
      </c>
      <c r="E16" s="36" t="n">
        <v>0.4</v>
      </c>
      <c r="F16" s="36" t="n">
        <v>0.6</v>
      </c>
    </row>
    <row r="17">
      <c r="A17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2026-07-22T17:36:29Z</dcterms:created>
  <dcterms:modified xsi:type="dcterms:W3CDTF">2026-07-22T17:36:29Z</dcterms:modified>
</cp:coreProperties>
</file>
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FTHY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2026-10-05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0.723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medium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12.625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0.835</v>
      </c>
      <c r="C13" s="2" t="inlineStr"/>
    </row>
    <row r="14">
      <c r="A14" s="4" t="inlineStr">
        <is>
          <t>comps_percentile</t>
        </is>
      </c>
      <c r="B14" s="8" t="n">
        <v>0.667</v>
      </c>
      <c r="C14" s="2" t="inlineStr">
        <is>
          <t>Peer-relative ranking of P/E, EV/EBITDA, EV/Rev</t>
        </is>
      </c>
    </row>
    <row r="16">
      <c r="A16" s="3" t="inlineStr">
        <is>
          <t>Honest caveats (read before acting)</t>
        </is>
      </c>
      <c r="B16" s="3" t="n"/>
      <c r="C16" s="3" t="n"/>
    </row>
    <row r="17">
      <c r="A17" s="2" t="inlineStr">
        <is>
          <t>Lite DCF: 5y horizon, 70/30 equity/debt cap structure assumed, FCF growth from 3y trailing trend.</t>
        </is>
      </c>
    </row>
    <row r="18">
      <c r="A18" s="2" t="inlineStr">
        <is>
          <t>Peer set is FMP's algorithmic /stock-peers — may include weak comps for unusual business models.</t>
        </is>
      </c>
    </row>
    <row r="19">
      <c r="A19" s="2" t="inlineStr">
        <is>
          <t>Net cash treatment uses cashAndShortTermInvestments (operating cash); excludes LT marketable</t>
        </is>
      </c>
    </row>
    <row r="20">
      <c r="A20" s="2" t="inlineStr">
        <is>
          <t xml:space="preserve">  securities, which understates intrinsic for cash-rich companies like AAPL (~$80B in LT inv).</t>
        </is>
      </c>
    </row>
    <row r="21">
      <c r="A21" s="2" t="inlineStr">
        <is>
          <t>Margin of safety is normalized to 0..1; flip to the DCF tab for the raw % gap.</t>
        </is>
      </c>
    </row>
    <row r="22">
      <c r="A22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22:C22"/>
    <mergeCell ref="A17:C17"/>
    <mergeCell ref="A18:C18"/>
    <mergeCell ref="A3:C3"/>
    <mergeCell ref="A21:C21"/>
    <mergeCell ref="A12:C12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FTHY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0.05341000080108643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1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0.05579747130283848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72947584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0</v>
      </c>
    </row>
    <row r="33">
      <c r="A33" s="4" t="inlineStr">
        <is>
          <t>Plus: cash &amp; ST investments</t>
        </is>
      </c>
      <c r="B33" s="12" t="n">
        <v>0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36772988.1980198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12.625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FTHY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FTHY</t>
        </is>
      </c>
      <c r="B5" s="29" t="inlineStr">
        <is>
          <t>First Trust High Yield Opportunities 2027 Term Fund</t>
        </is>
      </c>
      <c r="C5" s="30" t="n">
        <v>464258976</v>
      </c>
      <c r="D5" s="31" t="n">
        <v>18.3</v>
      </c>
      <c r="E5" s="31" t="n"/>
      <c r="F5" s="31" t="n"/>
    </row>
    <row r="6">
      <c r="A6" t="inlineStr">
        <is>
          <t>CRMMX</t>
        </is>
      </c>
      <c r="B6" t="inlineStr">
        <is>
          <t>CRM Mid Cap Value Investor Shar</t>
        </is>
      </c>
      <c r="C6" s="32" t="n"/>
      <c r="D6" s="33" t="n">
        <v>12.186379</v>
      </c>
      <c r="E6" s="33" t="n"/>
      <c r="F6" s="33" t="n"/>
    </row>
    <row r="7">
      <c r="A7" t="inlineStr">
        <is>
          <t>GUBGX</t>
        </is>
      </c>
      <c r="B7" t="inlineStr">
        <is>
          <t>Victory RS International Fund -</t>
        </is>
      </c>
      <c r="C7" s="32" t="n"/>
      <c r="D7" s="33" t="n">
        <v>18.347006</v>
      </c>
      <c r="E7" s="33" t="n"/>
      <c r="F7" s="33" t="n"/>
    </row>
    <row r="8">
      <c r="A8" t="inlineStr">
        <is>
          <t>GUT</t>
        </is>
      </c>
      <c r="B8" t="inlineStr">
        <is>
          <t>The Gabelli Utility Trust</t>
        </is>
      </c>
      <c r="C8" s="32" t="n">
        <v>520056576</v>
      </c>
      <c r="D8" s="33" t="n">
        <v>9.317097</v>
      </c>
      <c r="E8" s="33" t="n"/>
      <c r="F8" s="33" t="n">
        <v>49.538</v>
      </c>
    </row>
    <row r="9">
      <c r="A9" t="inlineStr">
        <is>
          <t>HNMDX</t>
        </is>
      </c>
      <c r="B9" t="inlineStr">
        <is>
          <t xml:space="preserve">Heartland Mid Cap Value Fund - </t>
        </is>
      </c>
      <c r="C9" s="32" t="n"/>
      <c r="D9" s="33" t="n">
        <v>19.75276</v>
      </c>
      <c r="E9" s="33" t="n"/>
      <c r="F9" s="33" t="n"/>
    </row>
    <row r="10">
      <c r="A10" t="inlineStr">
        <is>
          <t>HRMDX</t>
        </is>
      </c>
      <c r="B10" t="inlineStr">
        <is>
          <t>Heartland Mid Cap Value Fund In</t>
        </is>
      </c>
      <c r="C10" s="32" t="n"/>
      <c r="D10" s="33" t="n">
        <v>19.759157</v>
      </c>
      <c r="E10" s="33" t="n"/>
      <c r="F10" s="33" t="n"/>
    </row>
    <row r="11">
      <c r="A11" t="inlineStr">
        <is>
          <t>PRPZX</t>
        </is>
      </c>
      <c r="B11" t="inlineStr">
        <is>
          <t>PGIM Jennison MLP Fund Class Z</t>
        </is>
      </c>
      <c r="C11" s="32" t="n"/>
      <c r="D11" s="33" t="n">
        <v>19.7072</v>
      </c>
      <c r="E11" s="33" t="n"/>
      <c r="F11" s="33" t="n"/>
    </row>
    <row r="12">
      <c r="A12" t="inlineStr">
        <is>
          <t>RMT</t>
        </is>
      </c>
      <c r="B12" t="inlineStr">
        <is>
          <t>Royce Micro-Cap Trust, Inc.</t>
        </is>
      </c>
      <c r="C12" s="32" t="n">
        <v>739172160</v>
      </c>
      <c r="D12" s="33" t="n">
        <v>1.9320114</v>
      </c>
      <c r="E12" s="33" t="n"/>
      <c r="F12" s="33" t="n">
        <v>149.3</v>
      </c>
    </row>
    <row r="13">
      <c r="A13" t="inlineStr">
        <is>
          <t>RSIGX</t>
        </is>
      </c>
      <c r="B13" t="inlineStr">
        <is>
          <t>Victory RS International Fund C</t>
        </is>
      </c>
      <c r="C13" s="32" t="n"/>
      <c r="D13" s="33" t="n">
        <v>18.364042</v>
      </c>
      <c r="E13" s="33" t="n"/>
      <c r="F13" s="33" t="n"/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>
        <v>0.333</v>
      </c>
      <c r="E17" s="35" t="n"/>
      <c r="F17" s="35" t="n"/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2026-10-05T17:35:47Z</dcterms:created>
  <dcterms:modified xsi:type="dcterms:W3CDTF">2026-10-05T17:35:47Z</dcterms:modified>
</cp:coreProperties>
</file>
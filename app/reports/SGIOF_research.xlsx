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67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SGIOF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2026-08-25 17:36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0.8149999999999999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medium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18.908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8" t="n">
        <v>1</v>
      </c>
      <c r="C13" s="2" t="inlineStr"/>
    </row>
    <row r="14">
      <c r="A14" s="4" t="inlineStr">
        <is>
          <t>comps_percentile</t>
        </is>
      </c>
      <c r="B14" s="8" t="n">
        <v>0.722</v>
      </c>
      <c r="C14" s="2" t="inlineStr">
        <is>
          <t>Peer-relative ranking of P/E, EV/EBITDA, EV/Rev</t>
        </is>
      </c>
    </row>
    <row r="16">
      <c r="A16" s="3" t="inlineStr">
        <is>
          <t>Honest caveats (read before acting)</t>
        </is>
      </c>
      <c r="B16" s="3" t="n"/>
      <c r="C16" s="3" t="n"/>
    </row>
    <row r="17">
      <c r="A17" s="2" t="inlineStr">
        <is>
          <t>Lite DCF: 5y horizon, 70/30 equity/debt cap structure assumed, FCF growth from 3y trailing trend.</t>
        </is>
      </c>
    </row>
    <row r="18">
      <c r="A18" s="2" t="inlineStr">
        <is>
          <t>Peer set is FMP's algorithmic /stock-peers — may include weak comps for unusual business models.</t>
        </is>
      </c>
    </row>
    <row r="19">
      <c r="A19" s="2" t="inlineStr">
        <is>
          <t>Net cash treatment uses cashAndShortTermInvestments (operating cash); excludes LT marketable</t>
        </is>
      </c>
    </row>
    <row r="20">
      <c r="A20" s="2" t="inlineStr">
        <is>
          <t xml:space="preserve">  securities, which understates intrinsic for cash-rich companies like AAPL (~$80B in LT inv).</t>
        </is>
      </c>
    </row>
    <row r="21">
      <c r="A21" s="2" t="inlineStr">
        <is>
          <t>Margin of safety is normalized to 0..1; flip to the DCF tab for the raw % gap.</t>
        </is>
      </c>
    </row>
    <row r="22">
      <c r="A22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22:C22"/>
    <mergeCell ref="A17:C17"/>
    <mergeCell ref="A18:C18"/>
    <mergeCell ref="A3:C3"/>
    <mergeCell ref="A21:C21"/>
    <mergeCell ref="A12:C12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SGIOF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0.0464300012588501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0.7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0.06329971691874721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182268000000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684131024896</v>
      </c>
    </row>
    <row r="33">
      <c r="A33" s="4" t="inlineStr">
        <is>
          <t>Plus: cash &amp; ST investments</t>
        </is>
      </c>
      <c r="B33" s="12" t="n">
        <v>298936991744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851176820.8165855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18.908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SGIOF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SGIOF</t>
        </is>
      </c>
      <c r="B5" s="29" t="inlineStr">
        <is>
          <t>Shionogi &amp; Co., Ltd.</t>
        </is>
      </c>
      <c r="C5" s="30" t="n">
        <v>16094051328</v>
      </c>
      <c r="D5" s="31" t="n">
        <v>12.44</v>
      </c>
      <c r="E5" s="31" t="n">
        <v>2.67</v>
      </c>
      <c r="F5" s="31" t="n">
        <v>0.71</v>
      </c>
    </row>
    <row r="6">
      <c r="A6" t="inlineStr">
        <is>
          <t>ALBHF</t>
        </is>
      </c>
      <c r="B6" t="inlineStr">
        <is>
          <t>Alibaba Health Information Tech</t>
        </is>
      </c>
      <c r="C6" s="32" t="n">
        <v>7117132288</v>
      </c>
      <c r="D6" s="33" t="n">
        <v>22</v>
      </c>
      <c r="E6" s="33" t="n">
        <v>-1.625</v>
      </c>
      <c r="F6" s="33" t="n">
        <v>-0.08799999999999999</v>
      </c>
    </row>
    <row r="7">
      <c r="A7" t="inlineStr">
        <is>
          <t>BIOVF</t>
        </is>
      </c>
      <c r="B7" t="inlineStr">
        <is>
          <t>SWEDISH ORPHAN BIOVITRUM AB</t>
        </is>
      </c>
      <c r="C7" s="32" t="n">
        <v>16793334784</v>
      </c>
      <c r="D7" s="33" t="n">
        <v>117.46342</v>
      </c>
      <c r="E7" s="33" t="n"/>
      <c r="F7" s="33" t="n"/>
    </row>
    <row r="8">
      <c r="A8" t="inlineStr">
        <is>
          <t>BMXMF</t>
        </is>
      </c>
      <c r="B8" t="inlineStr">
        <is>
          <t>Biomerieux 69 Marcy L'Etoile</t>
        </is>
      </c>
      <c r="C8" s="32" t="n">
        <v>9788449792</v>
      </c>
      <c r="D8" s="33" t="n">
        <v>18.239035</v>
      </c>
      <c r="E8" s="33" t="n">
        <v>9.093999999999999</v>
      </c>
      <c r="F8" s="33" t="n">
        <v>2.394</v>
      </c>
    </row>
    <row r="9">
      <c r="A9" t="inlineStr">
        <is>
          <t>CHJTF</t>
        </is>
      </c>
      <c r="B9" t="inlineStr">
        <is>
          <t>CSPC PHARMACEUTICAL GROUP LIMIT</t>
        </is>
      </c>
      <c r="C9" s="32" t="n">
        <v>12660050944</v>
      </c>
      <c r="D9" s="33" t="n">
        <v>11.1</v>
      </c>
      <c r="E9" s="33" t="n">
        <v>-0.342</v>
      </c>
      <c r="F9" s="33" t="n">
        <v>-0.108</v>
      </c>
    </row>
    <row r="10">
      <c r="A10" t="inlineStr">
        <is>
          <t>FMCQF</t>
        </is>
      </c>
      <c r="B10" t="inlineStr">
        <is>
          <t>Fresenius Medical Care AG</t>
        </is>
      </c>
      <c r="C10" s="32" t="n">
        <v>13688681472</v>
      </c>
      <c r="D10" s="33" t="n">
        <v>13.257731</v>
      </c>
      <c r="E10" s="33" t="n">
        <v>9.031000000000001</v>
      </c>
      <c r="F10" s="33" t="n">
        <v>1.265</v>
      </c>
    </row>
    <row r="11">
      <c r="A11" t="inlineStr">
        <is>
          <t>OCPNF</t>
        </is>
      </c>
      <c r="B11" t="inlineStr">
        <is>
          <t>Olympus Corp.</t>
        </is>
      </c>
      <c r="C11" s="32" t="n">
        <v>14029655040</v>
      </c>
      <c r="D11" s="33" t="n">
        <v>33.846153</v>
      </c>
      <c r="E11" s="33" t="n">
        <v>0.98</v>
      </c>
      <c r="F11" s="33" t="n">
        <v>0.205</v>
      </c>
    </row>
    <row r="12">
      <c r="A12" t="inlineStr">
        <is>
          <t>SBMFF</t>
        </is>
      </c>
      <c r="B12" t="inlineStr">
        <is>
          <t>SINO BIOPHARMACEUTICAL</t>
        </is>
      </c>
      <c r="C12" s="32" t="n">
        <v>13364213760</v>
      </c>
      <c r="D12" s="33" t="n">
        <v>37.5</v>
      </c>
      <c r="E12" s="33" t="n">
        <v>1.6</v>
      </c>
      <c r="F12" s="33" t="n">
        <v>0.494</v>
      </c>
    </row>
    <row r="13">
      <c r="A13" t="inlineStr">
        <is>
          <t>SFOSF</t>
        </is>
      </c>
      <c r="B13" t="inlineStr">
        <is>
          <t>SHANGHAI FOSUN PHARMACEUTICAL G</t>
        </is>
      </c>
      <c r="C13" s="32" t="n">
        <v>8277919232</v>
      </c>
      <c r="D13" s="33" t="n">
        <v>11.578948</v>
      </c>
      <c r="E13" s="33" t="n">
        <v>7.214</v>
      </c>
      <c r="F13" s="33" t="n">
        <v>1.053</v>
      </c>
    </row>
    <row r="15">
      <c r="A15" s="4" t="inlineStr">
        <is>
          <t>Peer median</t>
        </is>
      </c>
      <c r="D15" s="34">
        <f>MEDIAN(D6:D13)</f>
        <v/>
      </c>
      <c r="E15" s="34">
        <f>MEDIAN(E6:E13)</f>
        <v/>
      </c>
      <c r="F15" s="34">
        <f>MEDIAN(F6:F13)</f>
        <v/>
      </c>
    </row>
    <row r="16">
      <c r="A16" s="4" t="inlineStr">
        <is>
          <t>Peer mean</t>
        </is>
      </c>
      <c r="D16" s="34">
        <f>AVERAGE(D6:D13)</f>
        <v/>
      </c>
      <c r="E16" s="34">
        <f>AVERAGE(E6:E13)</f>
        <v/>
      </c>
      <c r="F16" s="34">
        <f>AVERAGE(F6:F13)</f>
        <v/>
      </c>
    </row>
    <row r="17">
      <c r="A17" s="4" t="inlineStr">
        <is>
          <t>Target percentile vs peers</t>
        </is>
      </c>
      <c r="D17" s="35" t="n">
        <v>0.167</v>
      </c>
      <c r="E17" s="35" t="n">
        <v>0.333</v>
      </c>
      <c r="F17" s="35" t="n">
        <v>0.333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2026-08-25T17:36:42Z</dcterms:created>
  <dcterms:modified xsi:type="dcterms:W3CDTF">2026-08-25T17:36:42Z</dcterms:modified>
</cp:coreProperties>
</file>
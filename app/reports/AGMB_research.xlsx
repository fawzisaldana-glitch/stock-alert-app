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AGMB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2026-10-10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0.543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9.08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0.543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AGMB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0.0524399995803833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-51745000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1139000</v>
      </c>
    </row>
    <row r="33">
      <c r="A33" s="4" t="inlineStr">
        <is>
          <t>Plus: cash &amp; ST investments</t>
        </is>
      </c>
      <c r="B33" s="12" t="n">
        <v>251976992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49247975.33039647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9.08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AGMB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AGMB</t>
        </is>
      </c>
      <c r="B5" s="29" t="inlineStr">
        <is>
          <t>AgomAb Therapeutics NV</t>
        </is>
      </c>
      <c r="C5" s="30" t="n">
        <v>447171616</v>
      </c>
      <c r="D5" s="31" t="n"/>
      <c r="E5" s="31" t="n">
        <v>-4.46</v>
      </c>
      <c r="F5" s="31" t="n"/>
    </row>
    <row r="6">
      <c r="A6" t="inlineStr">
        <is>
          <t>ACRS</t>
        </is>
      </c>
      <c r="B6" t="inlineStr">
        <is>
          <t>Aclaris Therapeutics, Inc.</t>
        </is>
      </c>
      <c r="C6" s="32" t="n">
        <v>563771776</v>
      </c>
      <c r="D6" s="33" t="n"/>
      <c r="E6" s="33" t="n">
        <v>-5.543</v>
      </c>
      <c r="F6" s="33" t="n">
        <v>57.679</v>
      </c>
    </row>
    <row r="7">
      <c r="A7" t="inlineStr">
        <is>
          <t>ALMS</t>
        </is>
      </c>
      <c r="B7" t="inlineStr">
        <is>
          <t>Alumis Inc.</t>
        </is>
      </c>
      <c r="C7" s="32" t="n">
        <v>926756288</v>
      </c>
      <c r="D7" s="33" t="n"/>
      <c r="E7" s="33" t="n">
        <v>-1.094</v>
      </c>
      <c r="F7" s="33" t="n">
        <v>62.299</v>
      </c>
    </row>
    <row r="8">
      <c r="A8" t="inlineStr">
        <is>
          <t>ANAB</t>
        </is>
      </c>
      <c r="B8" t="inlineStr">
        <is>
          <t>AnaptysBio, Inc.</t>
        </is>
      </c>
      <c r="C8" s="32" t="n">
        <v>1373686528</v>
      </c>
      <c r="D8" s="33" t="n"/>
      <c r="E8" s="33" t="n">
        <v>22.509</v>
      </c>
      <c r="F8" s="33" t="n">
        <v>13.942</v>
      </c>
    </row>
    <row r="9">
      <c r="A9" t="inlineStr">
        <is>
          <t>EQ</t>
        </is>
      </c>
      <c r="B9" t="inlineStr">
        <is>
          <t>Equillium, Inc.</t>
        </is>
      </c>
      <c r="C9" s="32" t="n">
        <v>89405392</v>
      </c>
      <c r="D9" s="33" t="n"/>
      <c r="E9" s="33" t="n">
        <v>-1.71</v>
      </c>
      <c r="F9" s="33" t="n"/>
    </row>
    <row r="10">
      <c r="A10" t="inlineStr">
        <is>
          <t>ODTX</t>
        </is>
      </c>
      <c r="B10" t="inlineStr">
        <is>
          <t>Odyssey Therapeutics, Inc.</t>
        </is>
      </c>
      <c r="C10" s="32" t="n">
        <v>913112064</v>
      </c>
      <c r="D10" s="33" t="n"/>
      <c r="E10" s="33" t="n">
        <v>-4.157</v>
      </c>
      <c r="F10" s="33" t="n">
        <v>6310.108</v>
      </c>
    </row>
    <row r="12">
      <c r="A12" s="4" t="inlineStr">
        <is>
          <t>Peer median</t>
        </is>
      </c>
      <c r="D12" s="34">
        <f>MEDIAN(D6:D10)</f>
        <v/>
      </c>
      <c r="E12" s="34">
        <f>MEDIAN(E6:E10)</f>
        <v/>
      </c>
      <c r="F12" s="34">
        <f>MEDIAN(F6:F10)</f>
        <v/>
      </c>
    </row>
    <row r="13">
      <c r="A13" s="4" t="inlineStr">
        <is>
          <t>Peer mean</t>
        </is>
      </c>
      <c r="D13" s="34">
        <f>AVERAGE(D6:D10)</f>
        <v/>
      </c>
      <c r="E13" s="34">
        <f>AVERAGE(E6:E10)</f>
        <v/>
      </c>
      <c r="F13" s="34">
        <f>AVERAGE(F6:F10)</f>
        <v/>
      </c>
    </row>
    <row r="14">
      <c r="A14" s="4" t="inlineStr">
        <is>
          <t>Target percentile vs peers</t>
        </is>
      </c>
      <c r="D14" s="35" t="n"/>
      <c r="E14" s="35" t="n"/>
      <c r="F14" s="35" t="n"/>
    </row>
    <row r="15">
      <c r="A15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2026-10-10T17:36:11Z</dcterms:created>
  <dcterms:modified xsi:type="dcterms:W3CDTF">2026-10-10T17:36:11Z</dcterms:modified>
</cp:coreProperties>
</file>